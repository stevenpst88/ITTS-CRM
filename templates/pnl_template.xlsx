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/>
  <xr:revisionPtr revIDLastSave="0" documentId="8_{4E3F9D88-1749-4BC2-85E1-962E7C44748B}" xr6:coauthVersionLast="47" xr6:coauthVersionMax="47" xr10:uidLastSave="{00000000-0000-0000-0000-000000000000}"/>
  <bookViews>
    <workbookView xWindow="1140" yWindow="1140" windowWidth="14400" windowHeight="8170" tabRatio="747" xr2:uid="{00000000-000D-0000-FFFF-FFFF00000000}"/>
  </bookViews>
  <sheets>
    <sheet name="PNL" sheetId="12" r:id="rId1"/>
  </sheets>
  <definedNames>
    <definedName name="_xlnm.Print_Area" localSheetId="0">PNL!$A$1:$H$126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<sst xmlns="http://schemas.openxmlformats.org/spreadsheetml/2006/main" count="109" uniqueCount="89">
  <si>
    <t>Profitability Calculation Worksheet for Implementation</t>
    <phoneticPr fontId="4" type="noConversion"/>
  </si>
  <si>
    <t>Creation of New Order</t>
    <phoneticPr fontId="3" type="noConversion"/>
  </si>
  <si>
    <t>Change of Existing Order</t>
    <phoneticPr fontId="3" type="noConversion"/>
  </si>
  <si>
    <t>yyyy.mm.dd</t>
    <phoneticPr fontId="4" type="noConversion"/>
  </si>
  <si>
    <t>Requested by:</t>
  </si>
  <si>
    <t>Request Date:</t>
  </si>
  <si>
    <t>Customer Name:</t>
  </si>
  <si>
    <t>Name</t>
  </si>
  <si>
    <t>Customer Number:</t>
  </si>
  <si>
    <t>Project Manager (PM):</t>
  </si>
  <si>
    <t>Cust. Contact Person:</t>
  </si>
  <si>
    <t>Profit Center Manager (PCM):</t>
  </si>
  <si>
    <t>Project No.:</t>
    <phoneticPr fontId="4" type="noConversion"/>
  </si>
  <si>
    <t>Profit Center No.:</t>
  </si>
  <si>
    <t>Project Name:</t>
  </si>
  <si>
    <t>Project Start Date:</t>
  </si>
  <si>
    <t>Project End Date:</t>
  </si>
  <si>
    <t>Planned Revenues ( 專案收入金額)→(Revenues 1+2+3+4 )</t>
    <phoneticPr fontId="4" type="noConversion"/>
  </si>
  <si>
    <t>1.Consultant Revenues(顧問服務收入)</t>
    <phoneticPr fontId="4" type="noConversion"/>
  </si>
  <si>
    <t>←請填入顧問收入總金額</t>
    <phoneticPr fontId="4" type="noConversion"/>
  </si>
  <si>
    <t xml:space="preserve"> Planned Billing Dates </t>
    <phoneticPr fontId="3" type="noConversion"/>
  </si>
  <si>
    <t>收款%</t>
  </si>
  <si>
    <t>yyyy.mm.dd</t>
  </si>
  <si>
    <t xml:space="preserve">  Amount    </t>
  </si>
  <si>
    <t>Total Revenues--(1)</t>
  </si>
  <si>
    <t>←請填軟體收入金額</t>
    <phoneticPr fontId="4" type="noConversion"/>
  </si>
  <si>
    <t>Total Revenues--(2)</t>
    <phoneticPr fontId="4" type="noConversion"/>
  </si>
  <si>
    <t>3.H/W Revenues(硬體收入)</t>
    <phoneticPr fontId="4" type="noConversion"/>
  </si>
  <si>
    <t>←請填硬體收入金額</t>
    <phoneticPr fontId="4" type="noConversion"/>
  </si>
  <si>
    <t>Total Revenues--(3)</t>
    <phoneticPr fontId="4" type="noConversion"/>
  </si>
  <si>
    <t>4.Other Revenues(其他收入)</t>
    <phoneticPr fontId="4" type="noConversion"/>
  </si>
  <si>
    <t>Total Revenues--(4)</t>
    <phoneticPr fontId="4" type="noConversion"/>
  </si>
  <si>
    <t>Planned Costs (專案成本)→( Cost 1+2+3+4+5+6 )</t>
    <phoneticPr fontId="4" type="noConversion"/>
  </si>
  <si>
    <t>1.Consultant Cost(顧問服務成本)</t>
    <phoneticPr fontId="4" type="noConversion"/>
  </si>
  <si>
    <t>Consultant Role</t>
    <phoneticPr fontId="4" type="noConversion"/>
  </si>
  <si>
    <t>Consultant</t>
    <phoneticPr fontId="4" type="noConversion"/>
  </si>
  <si>
    <t>Free Lancer(委外)</t>
    <phoneticPr fontId="4" type="noConversion"/>
  </si>
  <si>
    <t>Rates</t>
    <phoneticPr fontId="4" type="noConversion"/>
  </si>
  <si>
    <t>Base Days</t>
    <phoneticPr fontId="4" type="noConversion"/>
  </si>
  <si>
    <t>Months/Year</t>
    <phoneticPr fontId="4" type="noConversion"/>
  </si>
  <si>
    <t>Subtotal Cost--(1)</t>
    <phoneticPr fontId="4" type="noConversion"/>
  </si>
  <si>
    <t>Subtotal Cost--(2)</t>
    <phoneticPr fontId="4" type="noConversion"/>
  </si>
  <si>
    <t>Total Cost--(1)</t>
    <phoneticPr fontId="4" type="noConversion"/>
  </si>
  <si>
    <t>Total Cost--(2)</t>
    <phoneticPr fontId="4" type="noConversion"/>
  </si>
  <si>
    <t>項         目</t>
    <phoneticPr fontId="4" type="noConversion"/>
  </si>
  <si>
    <t>供  應  商</t>
    <phoneticPr fontId="4" type="noConversion"/>
  </si>
  <si>
    <t>說            明</t>
    <phoneticPr fontId="4" type="noConversion"/>
  </si>
  <si>
    <t>數量/次數</t>
    <phoneticPr fontId="4" type="noConversion"/>
  </si>
  <si>
    <t>單     價</t>
    <phoneticPr fontId="4" type="noConversion"/>
  </si>
  <si>
    <t>3.H/W Cost (硬體成本)</t>
    <phoneticPr fontId="4" type="noConversion"/>
  </si>
  <si>
    <t>Total Cost--(3)</t>
    <phoneticPr fontId="4" type="noConversion"/>
  </si>
  <si>
    <t>4.Travel Expenses (國內/外差旅費用等)</t>
    <phoneticPr fontId="4" type="noConversion"/>
  </si>
  <si>
    <t>Total Cost--(4)</t>
    <phoneticPr fontId="4" type="noConversion"/>
  </si>
  <si>
    <t>5.Other Expenses (其他費用)</t>
    <phoneticPr fontId="4" type="noConversion"/>
  </si>
  <si>
    <r>
      <t>1)交際費用</t>
    </r>
    <r>
      <rPr>
        <sz val="12"/>
        <color indexed="53"/>
        <rFont val="微軟正黑體"/>
        <family val="2"/>
        <charset val="136"/>
      </rPr>
      <t>(餐會或年節送禮等)</t>
    </r>
    <phoneticPr fontId="4" type="noConversion"/>
  </si>
  <si>
    <r>
      <t>2)印花稅</t>
    </r>
    <r>
      <rPr>
        <sz val="12"/>
        <color indexed="53"/>
        <rFont val="微軟正黑體"/>
        <family val="2"/>
        <charset val="136"/>
      </rPr>
      <t>(合約金額*0.001)</t>
    </r>
    <phoneticPr fontId="4" type="noConversion"/>
  </si>
  <si>
    <t>Total Cost--(5)</t>
    <phoneticPr fontId="4" type="noConversion"/>
  </si>
  <si>
    <t>6.Contingency</t>
    <phoneticPr fontId="4" type="noConversion"/>
  </si>
  <si>
    <t>風險係數</t>
    <phoneticPr fontId="4" type="noConversion"/>
  </si>
  <si>
    <t>顧問服務</t>
    <phoneticPr fontId="4" type="noConversion"/>
  </si>
  <si>
    <t>Contingency</t>
    <phoneticPr fontId="4" type="noConversion"/>
  </si>
  <si>
    <t>Low</t>
    <phoneticPr fontId="4" type="noConversion"/>
  </si>
  <si>
    <t>Total Cost--(6)</t>
    <phoneticPr fontId="4" type="noConversion"/>
  </si>
  <si>
    <t>Total Profitability Margin -- Planned</t>
    <phoneticPr fontId="4" type="noConversion"/>
  </si>
  <si>
    <t>Total Profit/Loss -- Planned</t>
    <phoneticPr fontId="4" type="noConversion"/>
  </si>
  <si>
    <t>x</t>
  </si>
  <si>
    <t xml:space="preserve">       x</t>
    <phoneticPr fontId="4" type="noConversion"/>
  </si>
  <si>
    <t>Sales Director</t>
    <phoneticPr fontId="4" type="noConversion"/>
  </si>
  <si>
    <t>Date</t>
  </si>
  <si>
    <t xml:space="preserve">     Sales </t>
    <phoneticPr fontId="4" type="noConversion"/>
  </si>
  <si>
    <t>Manager</t>
    <phoneticPr fontId="4" type="noConversion"/>
  </si>
  <si>
    <t xml:space="preserve">     Account </t>
    <phoneticPr fontId="4" type="noConversion"/>
  </si>
  <si>
    <t xml:space="preserve">Sales </t>
    <phoneticPr fontId="4" type="noConversion"/>
  </si>
  <si>
    <t>項目</t>
    <phoneticPr fontId="4" type="noConversion"/>
  </si>
  <si>
    <t>軟體</t>
    <phoneticPr fontId="4" type="noConversion"/>
  </si>
  <si>
    <t>硬體</t>
    <phoneticPr fontId="4" type="noConversion"/>
  </si>
  <si>
    <t>其他</t>
    <phoneticPr fontId="4" type="noConversion"/>
  </si>
  <si>
    <t>合計</t>
    <phoneticPr fontId="4" type="noConversion"/>
  </si>
  <si>
    <t>QC</t>
    <phoneticPr fontId="4" type="noConversion"/>
  </si>
  <si>
    <t>收入</t>
    <phoneticPr fontId="4" type="noConversion"/>
  </si>
  <si>
    <t>成本</t>
    <phoneticPr fontId="4" type="noConversion"/>
  </si>
  <si>
    <t>毛利</t>
    <phoneticPr fontId="4" type="noConversion"/>
  </si>
  <si>
    <t>毛利%</t>
    <phoneticPr fontId="4" type="noConversion"/>
  </si>
  <si>
    <t>2.License Revenues(軟體收入)</t>
    <phoneticPr fontId="4" type="noConversion"/>
  </si>
  <si>
    <t>2.License Cost (軟體成本)</t>
    <phoneticPr fontId="4" type="noConversion"/>
  </si>
  <si>
    <t>Project Risk level</t>
    <phoneticPr fontId="4" type="noConversion"/>
  </si>
  <si>
    <t>Consultant Director</t>
    <phoneticPr fontId="4" type="noConversion"/>
  </si>
  <si>
    <t>←請填其他收入金額</t>
    <phoneticPr fontId="4" type="noConversion"/>
  </si>
  <si>
    <t>(由顧問主管依專案風險預估：0%、5%、10%、15%、20%)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</si>
</sst>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80" formatCode="&quot;NT$&quot;#,##0"/>
    <numFmt numFmtId="181" formatCode="&quot;NT$&quot;#,##0_);[Red]\(&quot;NT$&quot;#,##0\)"/>
    <numFmt numFmtId="182" formatCode="#,##0.00_ ;[Red]\-#,##0.00\ "/>
    <numFmt numFmtId="183" formatCode="_-&quot;\&quot;* #,##0_-;\-&quot;\&quot;* #,##0_-;_-&quot;\&quot;* &quot;-&quot;_-;_-@_-"/>
    <numFmt numFmtId="184" formatCode="&quot;NT$&quot;#,##0.00"/>
    <numFmt numFmtId="185" formatCode="#,##0_);[Red]\(#,##0\)"/>
    <numFmt numFmtId="186" formatCode="#,##0.000_);[Red]\(#,##0.000\)"/>
    <numFmt numFmtId="187" formatCode="#,##0.00_);[Red]\(#,##0.00\)"/>
    <numFmt numFmtId="188" formatCode="#,##0_ ;[Red]\-#,##0\ "/>
    <numFmt numFmtId="190" formatCode="_-* #,##0.000_-;\-* #,##0.000_-;_-* &quot;-&quot;???_-;_-@_-"/>
  </numFmts>
  <fonts count="50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sz val="12"/>
      <name val="CFShouSung"/>
      <family val="3"/>
    </font>
    <font>
      <sz val="10"/>
      <name val="Geneva"/>
      <family val="2"/>
    </font>
    <font>
      <sz val="12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u/>
      <sz val="10"/>
      <color indexed="12"/>
      <name val="Arial"/>
      <family val="2"/>
    </font>
    <font>
      <sz val="11"/>
      <color indexed="12"/>
      <name val="微軟正黑體"/>
      <family val="2"/>
      <charset val="136"/>
    </font>
    <font>
      <b/>
      <sz val="11"/>
      <color rgb="FF3333CC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indexed="9"/>
      <name val="微軟正黑體"/>
      <family val="2"/>
      <charset val="136"/>
    </font>
    <font>
      <b/>
      <sz val="12"/>
      <color indexed="9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1"/>
      <color indexed="12"/>
      <name val="微軟正黑體"/>
      <family val="2"/>
      <charset val="136"/>
    </font>
    <font>
      <b/>
      <sz val="12"/>
      <name val="微軟正黑體"/>
      <family val="2"/>
      <charset val="136"/>
    </font>
    <font>
      <b/>
      <u/>
      <sz val="12"/>
      <name val="微軟正黑體"/>
      <family val="2"/>
      <charset val="136"/>
    </font>
    <font>
      <b/>
      <u/>
      <sz val="12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8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color indexed="18"/>
      <name val="微軟正黑體"/>
      <family val="2"/>
      <charset val="136"/>
    </font>
    <font>
      <b/>
      <sz val="11"/>
      <color indexed="62"/>
      <name val="微軟正黑體"/>
      <family val="2"/>
      <charset val="136"/>
    </font>
    <font>
      <b/>
      <sz val="11"/>
      <color indexed="10"/>
      <name val="微軟正黑體"/>
      <family val="2"/>
      <charset val="136"/>
    </font>
    <font>
      <b/>
      <sz val="9"/>
      <color indexed="18"/>
      <name val="微軟正黑體"/>
      <family val="2"/>
      <charset val="136"/>
    </font>
    <font>
      <b/>
      <sz val="11"/>
      <color indexed="18"/>
      <name val="微軟正黑體"/>
      <family val="2"/>
      <charset val="136"/>
    </font>
    <font>
      <b/>
      <sz val="11"/>
      <color indexed="61"/>
      <name val="微軟正黑體"/>
      <family val="2"/>
      <charset val="136"/>
    </font>
    <font>
      <sz val="11"/>
      <color indexed="9"/>
      <name val="微軟正黑體"/>
      <family val="2"/>
      <charset val="136"/>
    </font>
    <font>
      <b/>
      <sz val="11"/>
      <color indexed="20"/>
      <name val="微軟正黑體"/>
      <family val="2"/>
      <charset val="136"/>
    </font>
    <font>
      <b/>
      <u/>
      <sz val="11"/>
      <name val="微軟正黑體"/>
      <family val="2"/>
      <charset val="136"/>
    </font>
    <font>
      <b/>
      <sz val="12"/>
      <color indexed="60"/>
      <name val="微軟正黑體"/>
      <family val="2"/>
      <charset val="136"/>
    </font>
    <font>
      <b/>
      <sz val="12"/>
      <color indexed="20"/>
      <name val="微軟正黑體"/>
      <family val="2"/>
      <charset val="136"/>
    </font>
    <font>
      <b/>
      <sz val="11"/>
      <color indexed="60"/>
      <name val="微軟正黑體"/>
      <family val="2"/>
      <charset val="136"/>
    </font>
    <font>
      <b/>
      <sz val="10"/>
      <color indexed="2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2"/>
      <color indexed="53"/>
      <name val="微軟正黑體"/>
      <family val="2"/>
      <charset val="136"/>
    </font>
    <font>
      <sz val="12"/>
      <color rgb="FFFF6600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rgb="FF3333CC"/>
      <name val="微軟正黑體"/>
      <family val="2"/>
      <charset val="136"/>
    </font>
    <font>
      <b/>
      <sz val="12"/>
      <color rgb="FFFF00FF"/>
      <name val="微軟正黑體"/>
      <family val="2"/>
      <charset val="136"/>
    </font>
    <font>
      <b/>
      <sz val="12"/>
      <color indexed="12"/>
      <name val="微軟正黑體"/>
      <family val="2"/>
      <charset val="136"/>
    </font>
    <font>
      <b/>
      <sz val="12"/>
      <color indexed="14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rgb="FF00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7">
    <xf numFmtId="0" fontId="0" fillId="0" borderId="0">
      <alignment vertical="center"/>
    </xf>
    <xf numFmtId="43" fontId="4" fillId="0" borderId="0" applyFont="0" applyFill="0" applyBorder="0" applyAlignment="0" applyProtection="0"/>
    <xf numFmtId="0" fontId="5" fillId="0" borderId="0"/>
    <xf numFmtId="37" fontId="6" fillId="0" borderId="0"/>
    <xf numFmtId="43" fontId="5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4" fontId="48" fillId="0" borderId="0" applyFont="0" applyFill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11" fillId="0" borderId="0" xfId="6" applyFont="1" applyAlignment="1">
      <alignment vertical="center"/>
    </xf>
    <xf numFmtId="0" fontId="11" fillId="0" borderId="8" xfId="6" applyFont="1" applyBorder="1" applyAlignment="1">
      <alignment vertical="center"/>
    </xf>
    <xf numFmtId="0" fontId="13" fillId="0" borderId="8" xfId="7" applyFont="1" applyBorder="1" applyAlignment="1" applyProtection="1">
      <alignment vertical="center"/>
    </xf>
    <xf numFmtId="0" fontId="11" fillId="0" borderId="4" xfId="6" applyFont="1" applyBorder="1" applyAlignment="1">
      <alignment vertical="center"/>
    </xf>
    <xf numFmtId="0" fontId="11" fillId="0" borderId="5" xfId="6" applyFont="1" applyBorder="1" applyAlignment="1">
      <alignment vertical="center"/>
    </xf>
    <xf numFmtId="30" fontId="13" fillId="0" borderId="0" xfId="7" applyNumberFormat="1" applyFont="1" applyBorder="1" applyAlignment="1" applyProtection="1">
      <alignment vertical="center"/>
    </xf>
    <xf numFmtId="0" fontId="11" fillId="0" borderId="9" xfId="6" applyFont="1" applyBorder="1" applyAlignment="1">
      <alignment vertical="center"/>
    </xf>
    <xf numFmtId="0" fontId="11" fillId="0" borderId="0" xfId="6" applyFont="1" applyAlignment="1" applyProtection="1">
      <alignment vertical="center"/>
      <protection locked="0"/>
    </xf>
    <xf numFmtId="0" fontId="11" fillId="0" borderId="10" xfId="6" applyFont="1" applyBorder="1" applyAlignment="1">
      <alignment vertical="center"/>
    </xf>
    <xf numFmtId="0" fontId="10" fillId="0" borderId="0" xfId="6" applyFont="1" applyAlignment="1">
      <alignment horizontal="center" vertical="center"/>
    </xf>
    <xf numFmtId="0" fontId="11" fillId="0" borderId="0" xfId="6" applyFont="1" applyAlignment="1">
      <alignment horizontal="left" vertical="center"/>
    </xf>
    <xf numFmtId="30" fontId="11" fillId="0" borderId="0" xfId="6" applyNumberFormat="1" applyFont="1" applyAlignment="1">
      <alignment horizontal="center" vertical="center"/>
    </xf>
    <xf numFmtId="30" fontId="11" fillId="0" borderId="9" xfId="6" applyNumberFormat="1" applyFont="1" applyBorder="1" applyAlignment="1">
      <alignment horizontal="center" vertical="center"/>
    </xf>
    <xf numFmtId="0" fontId="11" fillId="0" borderId="6" xfId="6" applyFont="1" applyBorder="1" applyAlignment="1">
      <alignment vertical="center"/>
    </xf>
    <xf numFmtId="14" fontId="11" fillId="0" borderId="8" xfId="6" applyNumberFormat="1" applyFont="1" applyBorder="1" applyAlignment="1" applyProtection="1">
      <alignment horizontal="center" vertical="center"/>
      <protection locked="0"/>
    </xf>
    <xf numFmtId="14" fontId="14" fillId="0" borderId="7" xfId="6" applyNumberFormat="1" applyFont="1" applyBorder="1" applyAlignment="1" applyProtection="1">
      <alignment horizontal="center" vertical="center"/>
      <protection locked="0"/>
    </xf>
    <xf numFmtId="0" fontId="10" fillId="0" borderId="11" xfId="6" applyFont="1" applyBorder="1" applyAlignment="1">
      <alignment vertical="center"/>
    </xf>
    <xf numFmtId="0" fontId="11" fillId="0" borderId="11" xfId="6" applyFont="1" applyBorder="1" applyAlignment="1">
      <alignment vertical="center"/>
    </xf>
    <xf numFmtId="0" fontId="10" fillId="0" borderId="14" xfId="6" applyFont="1" applyBorder="1" applyAlignment="1">
      <alignment horizontal="left" vertical="center"/>
    </xf>
    <xf numFmtId="0" fontId="10" fillId="0" borderId="14" xfId="6" applyFont="1" applyBorder="1" applyAlignment="1" applyProtection="1">
      <alignment vertical="center"/>
      <protection locked="0"/>
    </xf>
    <xf numFmtId="0" fontId="10" fillId="4" borderId="15" xfId="6" applyFont="1" applyFill="1" applyBorder="1" applyAlignment="1" applyProtection="1">
      <alignment vertical="center"/>
      <protection locked="0"/>
    </xf>
    <xf numFmtId="0" fontId="11" fillId="0" borderId="13" xfId="6" applyFont="1" applyBorder="1" applyAlignment="1">
      <alignment horizontal="left" vertical="center"/>
    </xf>
    <xf numFmtId="0" fontId="10" fillId="0" borderId="13" xfId="6" applyFont="1" applyBorder="1" applyAlignment="1" applyProtection="1">
      <alignment horizontal="left" vertical="center"/>
      <protection locked="0"/>
    </xf>
    <xf numFmtId="0" fontId="10" fillId="0" borderId="16" xfId="6" applyFont="1" applyBorder="1" applyAlignment="1" applyProtection="1">
      <alignment horizontal="left" vertical="center"/>
      <protection locked="0"/>
    </xf>
    <xf numFmtId="0" fontId="11" fillId="0" borderId="14" xfId="6" applyFont="1" applyBorder="1" applyAlignment="1" applyProtection="1">
      <alignment horizontal="left" vertical="center"/>
      <protection locked="0"/>
    </xf>
    <xf numFmtId="0" fontId="11" fillId="0" borderId="15" xfId="6" applyFont="1" applyBorder="1" applyAlignment="1" applyProtection="1">
      <alignment horizontal="left" vertical="center"/>
      <protection locked="0"/>
    </xf>
    <xf numFmtId="0" fontId="15" fillId="0" borderId="0" xfId="6" applyFont="1" applyAlignment="1">
      <alignment vertical="center"/>
    </xf>
    <xf numFmtId="0" fontId="11" fillId="0" borderId="17" xfId="6" applyFont="1" applyBorder="1" applyAlignment="1">
      <alignment vertical="center"/>
    </xf>
    <xf numFmtId="14" fontId="11" fillId="0" borderId="14" xfId="6" applyNumberFormat="1" applyFont="1" applyBorder="1" applyAlignment="1" applyProtection="1">
      <alignment horizontal="left" vertical="center"/>
      <protection locked="0"/>
    </xf>
    <xf numFmtId="14" fontId="11" fillId="0" borderId="15" xfId="6" applyNumberFormat="1" applyFont="1" applyBorder="1" applyAlignment="1" applyProtection="1">
      <alignment horizontal="right" vertical="center"/>
      <protection locked="0"/>
    </xf>
    <xf numFmtId="14" fontId="11" fillId="4" borderId="14" xfId="6" applyNumberFormat="1" applyFont="1" applyFill="1" applyBorder="1" applyAlignment="1" applyProtection="1">
      <alignment horizontal="left" vertical="center"/>
      <protection locked="0"/>
    </xf>
    <xf numFmtId="0" fontId="11" fillId="0" borderId="14" xfId="6" applyFont="1" applyBorder="1" applyAlignment="1">
      <alignment vertical="center"/>
    </xf>
    <xf numFmtId="14" fontId="11" fillId="4" borderId="15" xfId="6" applyNumberFormat="1" applyFont="1" applyFill="1" applyBorder="1" applyAlignment="1" applyProtection="1">
      <alignment horizontal="left" vertical="center"/>
      <protection locked="0"/>
    </xf>
    <xf numFmtId="0" fontId="16" fillId="5" borderId="18" xfId="6" applyFont="1" applyFill="1" applyBorder="1"/>
    <xf numFmtId="0" fontId="16" fillId="5" borderId="19" xfId="6" applyFont="1" applyFill="1" applyBorder="1"/>
    <xf numFmtId="0" fontId="16" fillId="5" borderId="19" xfId="6" applyFont="1" applyFill="1" applyBorder="1" applyAlignment="1">
      <alignment vertical="center"/>
    </xf>
    <xf numFmtId="180" fontId="16" fillId="5" borderId="19" xfId="6" applyNumberFormat="1" applyFont="1" applyFill="1" applyBorder="1" applyAlignment="1">
      <alignment horizontal="right"/>
    </xf>
    <xf numFmtId="180" fontId="17" fillId="5" borderId="20" xfId="6" applyNumberFormat="1" applyFont="1" applyFill="1" applyBorder="1" applyAlignment="1">
      <alignment horizontal="right"/>
    </xf>
    <xf numFmtId="0" fontId="11" fillId="0" borderId="0" xfId="6" applyFont="1"/>
    <xf numFmtId="176" fontId="18" fillId="0" borderId="0" xfId="1" applyNumberFormat="1" applyFont="1"/>
    <xf numFmtId="0" fontId="19" fillId="6" borderId="10" xfId="6" applyFont="1" applyFill="1" applyBorder="1"/>
    <xf numFmtId="0" fontId="19" fillId="6" borderId="0" xfId="6" applyFont="1" applyFill="1"/>
    <xf numFmtId="0" fontId="19" fillId="6" borderId="0" xfId="6" applyFont="1" applyFill="1" applyAlignment="1">
      <alignment horizontal="left" vertical="center"/>
    </xf>
    <xf numFmtId="0" fontId="19" fillId="6" borderId="0" xfId="6" applyFont="1" applyFill="1" applyAlignment="1">
      <alignment horizontal="center" vertical="center"/>
    </xf>
    <xf numFmtId="180" fontId="19" fillId="6" borderId="0" xfId="6" applyNumberFormat="1" applyFont="1" applyFill="1" applyAlignment="1">
      <alignment horizontal="right"/>
    </xf>
    <xf numFmtId="181" fontId="19" fillId="6" borderId="21" xfId="6" applyNumberFormat="1" applyFont="1" applyFill="1" applyBorder="1" applyAlignment="1">
      <alignment horizontal="right"/>
    </xf>
    <xf numFmtId="0" fontId="19" fillId="0" borderId="0" xfId="6" applyFont="1"/>
    <xf numFmtId="176" fontId="19" fillId="0" borderId="0" xfId="1" applyNumberFormat="1" applyFont="1"/>
    <xf numFmtId="0" fontId="20" fillId="0" borderId="10" xfId="6" applyFont="1" applyBorder="1"/>
    <xf numFmtId="0" fontId="21" fillId="0" borderId="0" xfId="6" applyFont="1" applyAlignment="1">
      <alignment horizontal="left"/>
    </xf>
    <xf numFmtId="30" fontId="20" fillId="0" borderId="0" xfId="6" applyNumberFormat="1" applyFont="1" applyAlignment="1">
      <alignment horizontal="center"/>
    </xf>
    <xf numFmtId="30" fontId="22" fillId="0" borderId="0" xfId="6" applyNumberFormat="1" applyFont="1" applyAlignment="1">
      <alignment horizontal="center"/>
    </xf>
    <xf numFmtId="30" fontId="21" fillId="0" borderId="0" xfId="6" applyNumberFormat="1" applyFont="1" applyAlignment="1">
      <alignment horizontal="center"/>
    </xf>
    <xf numFmtId="182" fontId="20" fillId="0" borderId="0" xfId="6" applyNumberFormat="1" applyFont="1" applyAlignment="1">
      <alignment horizontal="right"/>
    </xf>
    <xf numFmtId="182" fontId="21" fillId="0" borderId="9" xfId="6" applyNumberFormat="1" applyFont="1" applyBorder="1" applyAlignment="1">
      <alignment horizontal="center"/>
    </xf>
    <xf numFmtId="0" fontId="20" fillId="0" borderId="0" xfId="6" applyFont="1"/>
    <xf numFmtId="0" fontId="23" fillId="0" borderId="10" xfId="6" applyFont="1" applyBorder="1"/>
    <xf numFmtId="0" fontId="24" fillId="0" borderId="0" xfId="6" applyFont="1" applyAlignment="1">
      <alignment horizontal="left" vertical="center"/>
    </xf>
    <xf numFmtId="182" fontId="23" fillId="0" borderId="0" xfId="6" applyNumberFormat="1" applyFont="1" applyAlignment="1">
      <alignment horizontal="right"/>
    </xf>
    <xf numFmtId="9" fontId="25" fillId="0" borderId="0" xfId="8" applyFont="1" applyBorder="1" applyAlignment="1" applyProtection="1">
      <alignment horizontal="center"/>
    </xf>
    <xf numFmtId="14" fontId="23" fillId="0" borderId="0" xfId="6" applyNumberFormat="1" applyFont="1" applyAlignment="1" applyProtection="1">
      <alignment horizontal="center"/>
      <protection locked="0"/>
    </xf>
    <xf numFmtId="180" fontId="23" fillId="0" borderId="0" xfId="6" applyNumberFormat="1" applyFont="1" applyAlignment="1">
      <alignment horizontal="right"/>
    </xf>
    <xf numFmtId="180" fontId="23" fillId="0" borderId="9" xfId="6" applyNumberFormat="1" applyFont="1" applyBorder="1" applyAlignment="1">
      <alignment horizontal="right"/>
    </xf>
    <xf numFmtId="0" fontId="23" fillId="0" borderId="0" xfId="6" applyFont="1"/>
    <xf numFmtId="180" fontId="26" fillId="0" borderId="0" xfId="6" applyNumberFormat="1" applyFont="1" applyAlignment="1">
      <alignment horizontal="right"/>
    </xf>
    <xf numFmtId="0" fontId="23" fillId="0" borderId="0" xfId="6" applyFont="1" applyAlignment="1">
      <alignment horizontal="right"/>
    </xf>
    <xf numFmtId="180" fontId="27" fillId="0" borderId="0" xfId="6" applyNumberFormat="1" applyFont="1" applyAlignment="1">
      <alignment horizontal="right"/>
    </xf>
    <xf numFmtId="180" fontId="27" fillId="0" borderId="9" xfId="6" applyNumberFormat="1" applyFont="1" applyBorder="1" applyAlignment="1">
      <alignment horizontal="right"/>
    </xf>
    <xf numFmtId="0" fontId="19" fillId="6" borderId="0" xfId="6" applyFont="1" applyFill="1" applyAlignment="1">
      <alignment horizontal="right"/>
    </xf>
    <xf numFmtId="182" fontId="19" fillId="6" borderId="0" xfId="6" applyNumberFormat="1" applyFont="1" applyFill="1" applyAlignment="1">
      <alignment horizontal="right"/>
    </xf>
    <xf numFmtId="181" fontId="19" fillId="6" borderId="9" xfId="6" applyNumberFormat="1" applyFont="1" applyFill="1" applyBorder="1" applyAlignment="1">
      <alignment horizontal="right"/>
    </xf>
    <xf numFmtId="0" fontId="28" fillId="0" borderId="10" xfId="6" applyFont="1" applyBorder="1"/>
    <xf numFmtId="0" fontId="11" fillId="0" borderId="0" xfId="6" applyFont="1" applyAlignment="1">
      <alignment horizontal="left"/>
    </xf>
    <xf numFmtId="0" fontId="11" fillId="0" borderId="0" xfId="6" applyFont="1" applyAlignment="1">
      <alignment horizontal="right"/>
    </xf>
    <xf numFmtId="9" fontId="29" fillId="0" borderId="0" xfId="8" applyFont="1" applyBorder="1" applyAlignment="1" applyProtection="1">
      <alignment horizontal="center"/>
    </xf>
    <xf numFmtId="14" fontId="11" fillId="0" borderId="0" xfId="6" applyNumberFormat="1" applyFont="1" applyAlignment="1" applyProtection="1">
      <alignment horizontal="center"/>
      <protection locked="0"/>
    </xf>
    <xf numFmtId="182" fontId="11" fillId="0" borderId="0" xfId="6" applyNumberFormat="1" applyFont="1" applyAlignment="1">
      <alignment horizontal="right"/>
    </xf>
    <xf numFmtId="180" fontId="11" fillId="0" borderId="9" xfId="9" applyNumberFormat="1" applyFont="1" applyFill="1" applyBorder="1" applyProtection="1">
      <protection locked="0"/>
    </xf>
    <xf numFmtId="9" fontId="29" fillId="0" borderId="5" xfId="8" applyFont="1" applyBorder="1" applyAlignment="1" applyProtection="1">
      <alignment horizontal="center"/>
    </xf>
    <xf numFmtId="180" fontId="11" fillId="0" borderId="0" xfId="6" applyNumberFormat="1" applyFont="1" applyAlignment="1">
      <alignment horizontal="right"/>
    </xf>
    <xf numFmtId="180" fontId="30" fillId="0" borderId="0" xfId="6" applyNumberFormat="1" applyFont="1" applyAlignment="1">
      <alignment horizontal="right"/>
    </xf>
    <xf numFmtId="180" fontId="31" fillId="0" borderId="9" xfId="6" applyNumberFormat="1" applyFont="1" applyBorder="1" applyAlignment="1">
      <alignment horizontal="right"/>
    </xf>
    <xf numFmtId="184" fontId="11" fillId="0" borderId="9" xfId="9" applyNumberFormat="1" applyFont="1" applyFill="1" applyBorder="1" applyProtection="1">
      <protection locked="0"/>
    </xf>
    <xf numFmtId="0" fontId="10" fillId="6" borderId="0" xfId="6" quotePrefix="1" applyFont="1" applyFill="1" applyAlignment="1">
      <alignment horizontal="left"/>
    </xf>
    <xf numFmtId="0" fontId="10" fillId="6" borderId="0" xfId="6" applyFont="1" applyFill="1" applyAlignment="1">
      <alignment horizontal="right"/>
    </xf>
    <xf numFmtId="0" fontId="10" fillId="6" borderId="0" xfId="6" applyFont="1" applyFill="1"/>
    <xf numFmtId="180" fontId="10" fillId="6" borderId="0" xfId="6" applyNumberFormat="1" applyFont="1" applyFill="1" applyAlignment="1">
      <alignment horizontal="right"/>
    </xf>
    <xf numFmtId="182" fontId="10" fillId="6" borderId="0" xfId="6" applyNumberFormat="1" applyFont="1" applyFill="1" applyAlignment="1">
      <alignment horizontal="right"/>
    </xf>
    <xf numFmtId="0" fontId="10" fillId="0" borderId="0" xfId="6" applyFont="1"/>
    <xf numFmtId="180" fontId="31" fillId="0" borderId="0" xfId="6" applyNumberFormat="1" applyFont="1" applyAlignment="1">
      <alignment horizontal="right"/>
    </xf>
    <xf numFmtId="0" fontId="11" fillId="6" borderId="0" xfId="6" applyFont="1" applyFill="1" applyAlignment="1">
      <alignment horizontal="left"/>
    </xf>
    <xf numFmtId="0" fontId="11" fillId="6" borderId="0" xfId="6" applyFont="1" applyFill="1"/>
    <xf numFmtId="180" fontId="11" fillId="6" borderId="0" xfId="6" applyNumberFormat="1" applyFont="1" applyFill="1"/>
    <xf numFmtId="182" fontId="11" fillId="6" borderId="0" xfId="6" applyNumberFormat="1" applyFont="1" applyFill="1"/>
    <xf numFmtId="0" fontId="11" fillId="6" borderId="0" xfId="6" applyFont="1" applyFill="1" applyAlignment="1">
      <alignment horizontal="right"/>
    </xf>
    <xf numFmtId="0" fontId="11" fillId="0" borderId="10" xfId="6" applyFont="1" applyBorder="1" applyAlignment="1">
      <alignment horizontal="left"/>
    </xf>
    <xf numFmtId="180" fontId="11" fillId="0" borderId="0" xfId="6" applyNumberFormat="1" applyFont="1"/>
    <xf numFmtId="182" fontId="11" fillId="0" borderId="0" xfId="6" applyNumberFormat="1" applyFont="1"/>
    <xf numFmtId="180" fontId="32" fillId="0" borderId="0" xfId="6" applyNumberFormat="1" applyFont="1"/>
    <xf numFmtId="0" fontId="16" fillId="7" borderId="18" xfId="6" applyFont="1" applyFill="1" applyBorder="1"/>
    <xf numFmtId="0" fontId="16" fillId="7" borderId="19" xfId="6" applyFont="1" applyFill="1" applyBorder="1"/>
    <xf numFmtId="0" fontId="33" fillId="7" borderId="19" xfId="6" applyFont="1" applyFill="1" applyBorder="1"/>
    <xf numFmtId="182" fontId="33" fillId="7" borderId="19" xfId="6" applyNumberFormat="1" applyFont="1" applyFill="1" applyBorder="1"/>
    <xf numFmtId="184" fontId="31" fillId="7" borderId="19" xfId="6" applyNumberFormat="1" applyFont="1" applyFill="1" applyBorder="1"/>
    <xf numFmtId="180" fontId="16" fillId="7" borderId="20" xfId="6" applyNumberFormat="1" applyFont="1" applyFill="1" applyBorder="1"/>
    <xf numFmtId="0" fontId="34" fillId="8" borderId="22" xfId="6" applyFont="1" applyFill="1" applyBorder="1"/>
    <xf numFmtId="0" fontId="16" fillId="8" borderId="0" xfId="6" applyFont="1" applyFill="1"/>
    <xf numFmtId="0" fontId="33" fillId="8" borderId="0" xfId="6" applyFont="1" applyFill="1"/>
    <xf numFmtId="182" fontId="33" fillId="8" borderId="0" xfId="6" applyNumberFormat="1" applyFont="1" applyFill="1"/>
    <xf numFmtId="184" fontId="31" fillId="8" borderId="0" xfId="6" applyNumberFormat="1" applyFont="1" applyFill="1"/>
    <xf numFmtId="0" fontId="34" fillId="8" borderId="0" xfId="6" applyFont="1" applyFill="1"/>
    <xf numFmtId="0" fontId="11" fillId="8" borderId="0" xfId="6" applyFont="1" applyFill="1"/>
    <xf numFmtId="180" fontId="34" fillId="8" borderId="9" xfId="6" applyNumberFormat="1" applyFont="1" applyFill="1" applyBorder="1"/>
    <xf numFmtId="0" fontId="35" fillId="0" borderId="10" xfId="6" applyFont="1" applyBorder="1" applyAlignment="1">
      <alignment horizontal="center"/>
    </xf>
    <xf numFmtId="0" fontId="35" fillId="0" borderId="0" xfId="6" applyFont="1" applyAlignment="1">
      <alignment horizontal="center"/>
    </xf>
    <xf numFmtId="182" fontId="35" fillId="0" borderId="0" xfId="6" applyNumberFormat="1" applyFont="1" applyAlignment="1">
      <alignment horizontal="center"/>
    </xf>
    <xf numFmtId="182" fontId="35" fillId="0" borderId="9" xfId="6" applyNumberFormat="1" applyFont="1" applyBorder="1" applyAlignment="1">
      <alignment horizontal="center"/>
    </xf>
    <xf numFmtId="0" fontId="11" fillId="0" borderId="0" xfId="6" applyFont="1" applyAlignment="1">
      <alignment horizontal="center"/>
    </xf>
    <xf numFmtId="0" fontId="34" fillId="0" borderId="0" xfId="6" applyFont="1" applyAlignment="1">
      <alignment horizontal="center"/>
    </xf>
    <xf numFmtId="0" fontId="23" fillId="0" borderId="10" xfId="6" applyFont="1" applyBorder="1" applyAlignment="1">
      <alignment horizontal="left" indent="1"/>
    </xf>
    <xf numFmtId="0" fontId="23" fillId="0" borderId="0" xfId="6" applyFont="1" applyAlignment="1">
      <alignment horizontal="center"/>
    </xf>
    <xf numFmtId="176" fontId="36" fillId="0" borderId="0" xfId="1" applyNumberFormat="1" applyFont="1" applyFill="1" applyBorder="1" applyAlignment="1" applyProtection="1"/>
    <xf numFmtId="180" fontId="23" fillId="0" borderId="9" xfId="6" applyNumberFormat="1" applyFont="1" applyBorder="1"/>
    <xf numFmtId="0" fontId="37" fillId="0" borderId="0" xfId="6" applyFont="1"/>
    <xf numFmtId="0" fontId="23" fillId="2" borderId="10" xfId="6" applyFont="1" applyFill="1" applyBorder="1" applyAlignment="1">
      <alignment horizontal="left" indent="1"/>
    </xf>
    <xf numFmtId="0" fontId="23" fillId="2" borderId="0" xfId="6" applyFont="1" applyFill="1" applyAlignment="1">
      <alignment horizontal="center"/>
    </xf>
    <xf numFmtId="176" fontId="36" fillId="2" borderId="0" xfId="1" applyNumberFormat="1" applyFont="1" applyFill="1" applyBorder="1" applyAlignment="1" applyProtection="1"/>
    <xf numFmtId="0" fontId="23" fillId="2" borderId="0" xfId="6" applyFont="1" applyFill="1"/>
    <xf numFmtId="180" fontId="23" fillId="2" borderId="9" xfId="6" applyNumberFormat="1" applyFont="1" applyFill="1" applyBorder="1"/>
    <xf numFmtId="0" fontId="37" fillId="2" borderId="0" xfId="6" applyFont="1" applyFill="1"/>
    <xf numFmtId="0" fontId="2" fillId="2" borderId="0" xfId="6" applyFont="1" applyFill="1" applyAlignment="1">
      <alignment horizontal="center"/>
    </xf>
    <xf numFmtId="0" fontId="11" fillId="9" borderId="10" xfId="6" applyFont="1" applyFill="1" applyBorder="1" applyAlignment="1">
      <alignment horizontal="left" indent="1"/>
    </xf>
    <xf numFmtId="0" fontId="11" fillId="9" borderId="0" xfId="6" applyFont="1" applyFill="1" applyAlignment="1">
      <alignment horizontal="center"/>
    </xf>
    <xf numFmtId="176" fontId="38" fillId="9" borderId="0" xfId="1" applyNumberFormat="1" applyFont="1" applyFill="1" applyBorder="1" applyAlignment="1" applyProtection="1"/>
    <xf numFmtId="0" fontId="26" fillId="9" borderId="0" xfId="6" applyFont="1" applyFill="1"/>
    <xf numFmtId="0" fontId="23" fillId="9" borderId="0" xfId="6" applyFont="1" applyFill="1" applyAlignment="1">
      <alignment horizontal="center"/>
    </xf>
    <xf numFmtId="180" fontId="23" fillId="9" borderId="9" xfId="6" applyNumberFormat="1" applyFont="1" applyFill="1" applyBorder="1"/>
    <xf numFmtId="0" fontId="11" fillId="2" borderId="0" xfId="6" applyFont="1" applyFill="1"/>
    <xf numFmtId="0" fontId="34" fillId="2" borderId="0" xfId="6" applyFont="1" applyFill="1"/>
    <xf numFmtId="0" fontId="23" fillId="0" borderId="0" xfId="6" applyFont="1" applyAlignment="1">
      <alignment horizontal="left"/>
    </xf>
    <xf numFmtId="0" fontId="11" fillId="0" borderId="10" xfId="6" applyFont="1" applyBorder="1" applyAlignment="1">
      <alignment horizontal="center"/>
    </xf>
    <xf numFmtId="0" fontId="11" fillId="0" borderId="8" xfId="6" applyFont="1" applyBorder="1"/>
    <xf numFmtId="180" fontId="11" fillId="0" borderId="7" xfId="6" applyNumberFormat="1" applyFont="1" applyBorder="1"/>
    <xf numFmtId="0" fontId="37" fillId="0" borderId="0" xfId="6" applyFont="1" applyAlignment="1">
      <alignment horizontal="center"/>
    </xf>
    <xf numFmtId="0" fontId="39" fillId="0" borderId="0" xfId="6" applyFont="1"/>
    <xf numFmtId="180" fontId="37" fillId="2" borderId="9" xfId="6" applyNumberFormat="1" applyFont="1" applyFill="1" applyBorder="1"/>
    <xf numFmtId="176" fontId="15" fillId="0" borderId="0" xfId="1" applyNumberFormat="1" applyFont="1" applyFill="1"/>
    <xf numFmtId="0" fontId="15" fillId="0" borderId="10" xfId="6" applyFont="1" applyBorder="1" applyAlignment="1">
      <alignment horizontal="left"/>
    </xf>
    <xf numFmtId="0" fontId="8" fillId="0" borderId="10" xfId="6" applyFont="1" applyBorder="1"/>
    <xf numFmtId="0" fontId="8" fillId="0" borderId="0" xfId="6" applyFont="1" applyAlignment="1">
      <alignment horizontal="right"/>
    </xf>
    <xf numFmtId="182" fontId="8" fillId="0" borderId="0" xfId="6" applyNumberFormat="1" applyFont="1" applyAlignment="1">
      <alignment horizontal="right"/>
    </xf>
    <xf numFmtId="9" fontId="9" fillId="0" borderId="0" xfId="8" applyFont="1" applyBorder="1" applyAlignment="1" applyProtection="1">
      <alignment horizontal="center"/>
    </xf>
    <xf numFmtId="180" fontId="9" fillId="0" borderId="0" xfId="6" applyNumberFormat="1" applyFont="1" applyAlignment="1">
      <alignment horizontal="right"/>
    </xf>
    <xf numFmtId="180" fontId="40" fillId="0" borderId="0" xfId="6" applyNumberFormat="1" applyFont="1" applyAlignment="1">
      <alignment horizontal="right"/>
    </xf>
    <xf numFmtId="180" fontId="9" fillId="0" borderId="9" xfId="6" applyNumberFormat="1" applyFont="1" applyBorder="1" applyAlignment="1">
      <alignment horizontal="right"/>
    </xf>
    <xf numFmtId="0" fontId="34" fillId="0" borderId="0" xfId="6" applyFont="1"/>
    <xf numFmtId="180" fontId="34" fillId="2" borderId="9" xfId="6" applyNumberFormat="1" applyFont="1" applyFill="1" applyBorder="1"/>
    <xf numFmtId="0" fontId="11" fillId="0" borderId="10" xfId="6" applyFont="1" applyBorder="1" applyAlignment="1">
      <alignment horizontal="center" vertical="center"/>
    </xf>
    <xf numFmtId="0" fontId="11" fillId="0" borderId="0" xfId="6" applyFont="1" applyAlignment="1">
      <alignment horizontal="center" vertical="center"/>
    </xf>
    <xf numFmtId="0" fontId="11" fillId="0" borderId="0" xfId="6" applyFont="1" applyAlignment="1">
      <alignment horizontal="right" vertical="center"/>
    </xf>
    <xf numFmtId="0" fontId="34" fillId="0" borderId="0" xfId="6" applyFont="1" applyAlignment="1">
      <alignment vertical="center"/>
    </xf>
    <xf numFmtId="180" fontId="11" fillId="0" borderId="9" xfId="6" applyNumberFormat="1" applyFont="1" applyBorder="1" applyAlignment="1">
      <alignment vertical="center"/>
    </xf>
    <xf numFmtId="176" fontId="15" fillId="0" borderId="0" xfId="1" applyNumberFormat="1" applyFont="1" applyFill="1" applyBorder="1" applyAlignment="1" applyProtection="1">
      <alignment horizontal="center" vertical="center"/>
    </xf>
    <xf numFmtId="0" fontId="34" fillId="8" borderId="10" xfId="6" applyFont="1" applyFill="1" applyBorder="1" applyAlignment="1">
      <alignment vertical="center"/>
    </xf>
    <xf numFmtId="0" fontId="11" fillId="8" borderId="0" xfId="6" applyFont="1" applyFill="1" applyAlignment="1">
      <alignment horizontal="center" vertical="center"/>
    </xf>
    <xf numFmtId="0" fontId="11" fillId="8" borderId="0" xfId="6" applyFont="1" applyFill="1" applyAlignment="1">
      <alignment vertical="center"/>
    </xf>
    <xf numFmtId="180" fontId="11" fillId="8" borderId="9" xfId="6" applyNumberFormat="1" applyFont="1" applyFill="1" applyBorder="1" applyAlignment="1">
      <alignment vertical="center"/>
    </xf>
    <xf numFmtId="176" fontId="15" fillId="0" borderId="0" xfId="1" applyNumberFormat="1" applyFont="1" applyFill="1" applyAlignment="1">
      <alignment vertical="center"/>
    </xf>
    <xf numFmtId="0" fontId="35" fillId="0" borderId="10" xfId="6" applyFont="1" applyBorder="1" applyAlignment="1">
      <alignment horizontal="center" vertical="center"/>
    </xf>
    <xf numFmtId="0" fontId="35" fillId="0" borderId="0" xfId="6" applyFont="1" applyAlignment="1">
      <alignment horizontal="center" vertical="center"/>
    </xf>
    <xf numFmtId="180" fontId="35" fillId="0" borderId="9" xfId="6" applyNumberFormat="1" applyFont="1" applyBorder="1" applyAlignment="1">
      <alignment horizontal="center" vertical="center"/>
    </xf>
    <xf numFmtId="0" fontId="10" fillId="0" borderId="10" xfId="6" applyFont="1" applyBorder="1" applyAlignment="1">
      <alignment horizontal="left" vertical="center"/>
    </xf>
    <xf numFmtId="180" fontId="10" fillId="0" borderId="9" xfId="6" applyNumberFormat="1" applyFont="1" applyBorder="1" applyAlignment="1">
      <alignment horizontal="right" vertical="center"/>
    </xf>
    <xf numFmtId="0" fontId="11" fillId="0" borderId="10" xfId="6" applyFont="1" applyBorder="1" applyAlignment="1">
      <alignment horizontal="left" vertical="center"/>
    </xf>
    <xf numFmtId="0" fontId="39" fillId="0" borderId="0" xfId="6" applyFont="1" applyAlignment="1">
      <alignment vertical="center"/>
    </xf>
    <xf numFmtId="180" fontId="34" fillId="2" borderId="9" xfId="6" applyNumberFormat="1" applyFont="1" applyFill="1" applyBorder="1" applyAlignment="1">
      <alignment vertical="center"/>
    </xf>
    <xf numFmtId="180" fontId="11" fillId="0" borderId="0" xfId="6" applyNumberFormat="1" applyFont="1" applyAlignment="1">
      <alignment horizontal="right" vertical="center"/>
    </xf>
    <xf numFmtId="180" fontId="11" fillId="0" borderId="0" xfId="6" applyNumberFormat="1" applyFont="1" applyAlignment="1">
      <alignment vertical="center"/>
    </xf>
    <xf numFmtId="0" fontId="34" fillId="8" borderId="10" xfId="6" applyFont="1" applyFill="1" applyBorder="1" applyAlignment="1">
      <alignment horizontal="left" vertical="center"/>
    </xf>
    <xf numFmtId="0" fontId="10" fillId="8" borderId="0" xfId="6" applyFont="1" applyFill="1" applyAlignment="1">
      <alignment horizontal="right" vertical="center"/>
    </xf>
    <xf numFmtId="0" fontId="10" fillId="8" borderId="0" xfId="6" applyFont="1" applyFill="1" applyAlignment="1">
      <alignment vertical="center"/>
    </xf>
    <xf numFmtId="182" fontId="11" fillId="8" borderId="0" xfId="6" applyNumberFormat="1" applyFont="1" applyFill="1" applyAlignment="1">
      <alignment horizontal="right" vertical="center"/>
    </xf>
    <xf numFmtId="182" fontId="11" fillId="8" borderId="9" xfId="6" applyNumberFormat="1" applyFont="1" applyFill="1" applyBorder="1" applyAlignment="1">
      <alignment horizontal="right" vertical="center"/>
    </xf>
    <xf numFmtId="0" fontId="23" fillId="0" borderId="10" xfId="6" applyFont="1" applyBorder="1" applyAlignment="1">
      <alignment horizontal="left" vertical="center"/>
    </xf>
    <xf numFmtId="0" fontId="23" fillId="0" borderId="0" xfId="6" applyFont="1" applyAlignment="1">
      <alignment horizontal="left" vertical="center"/>
    </xf>
    <xf numFmtId="0" fontId="23" fillId="0" borderId="0" xfId="6" applyFont="1" applyAlignment="1">
      <alignment vertical="center"/>
    </xf>
    <xf numFmtId="0" fontId="42" fillId="0" borderId="0" xfId="6" applyFont="1" applyAlignment="1">
      <alignment vertical="center"/>
    </xf>
    <xf numFmtId="180" fontId="23" fillId="0" borderId="9" xfId="6" applyNumberFormat="1" applyFont="1" applyBorder="1" applyAlignment="1">
      <alignment vertical="center"/>
    </xf>
    <xf numFmtId="0" fontId="43" fillId="0" borderId="0" xfId="6" quotePrefix="1" applyFont="1" applyAlignment="1">
      <alignment horizontal="left" vertical="center"/>
    </xf>
    <xf numFmtId="180" fontId="43" fillId="0" borderId="0" xfId="6" applyNumberFormat="1" applyFont="1" applyAlignment="1">
      <alignment vertical="center"/>
    </xf>
    <xf numFmtId="0" fontId="44" fillId="0" borderId="10" xfId="6" applyFont="1" applyBorder="1" applyAlignment="1">
      <alignment horizontal="left" vertical="center"/>
    </xf>
    <xf numFmtId="0" fontId="44" fillId="0" borderId="0" xfId="6" quotePrefix="1" applyFont="1" applyAlignment="1">
      <alignment horizontal="left" vertical="center"/>
    </xf>
    <xf numFmtId="0" fontId="44" fillId="0" borderId="0" xfId="6" applyFont="1" applyAlignment="1">
      <alignment vertical="center"/>
    </xf>
    <xf numFmtId="0" fontId="42" fillId="0" borderId="0" xfId="6" quotePrefix="1" applyFont="1" applyAlignment="1">
      <alignment horizontal="left" vertical="center"/>
    </xf>
    <xf numFmtId="180" fontId="23" fillId="0" borderId="8" xfId="6" applyNumberFormat="1" applyFont="1" applyBorder="1" applyAlignment="1">
      <alignment vertical="center"/>
    </xf>
    <xf numFmtId="180" fontId="23" fillId="0" borderId="7" xfId="6" applyNumberFormat="1" applyFont="1" applyBorder="1" applyAlignment="1">
      <alignment vertical="center"/>
    </xf>
    <xf numFmtId="0" fontId="11" fillId="8" borderId="0" xfId="6" applyFont="1" applyFill="1" applyAlignment="1">
      <alignment horizontal="left" vertical="center"/>
    </xf>
    <xf numFmtId="180" fontId="11" fillId="8" borderId="0" xfId="6" applyNumberFormat="1" applyFont="1" applyFill="1" applyAlignment="1">
      <alignment vertical="center"/>
    </xf>
    <xf numFmtId="182" fontId="11" fillId="8" borderId="0" xfId="6" applyNumberFormat="1" applyFont="1" applyFill="1" applyAlignment="1">
      <alignment vertical="center"/>
    </xf>
    <xf numFmtId="186" fontId="23" fillId="0" borderId="0" xfId="6" applyNumberFormat="1" applyFont="1" applyAlignment="1">
      <alignment horizontal="center" vertical="center"/>
    </xf>
    <xf numFmtId="180" fontId="37" fillId="2" borderId="9" xfId="6" applyNumberFormat="1" applyFont="1" applyFill="1" applyBorder="1" applyAlignment="1">
      <alignment vertical="center"/>
    </xf>
    <xf numFmtId="0" fontId="34" fillId="8" borderId="0" xfId="6" applyFont="1" applyFill="1" applyAlignment="1">
      <alignment horizontal="left" vertical="center"/>
    </xf>
    <xf numFmtId="187" fontId="11" fillId="0" borderId="0" xfId="6" applyNumberFormat="1" applyFont="1" applyAlignment="1">
      <alignment horizontal="right" vertical="center"/>
    </xf>
    <xf numFmtId="182" fontId="11" fillId="0" borderId="9" xfId="6" applyNumberFormat="1" applyFont="1" applyBorder="1" applyAlignment="1">
      <alignment horizontal="right" vertical="center"/>
    </xf>
    <xf numFmtId="0" fontId="25" fillId="0" borderId="10" xfId="6" applyFont="1" applyBorder="1" applyAlignment="1">
      <alignment horizontal="left" vertical="center"/>
    </xf>
    <xf numFmtId="0" fontId="25" fillId="0" borderId="0" xfId="6" applyFont="1" applyAlignment="1">
      <alignment horizontal="right" vertical="center"/>
    </xf>
    <xf numFmtId="185" fontId="25" fillId="0" borderId="0" xfId="6" applyNumberFormat="1" applyFont="1" applyAlignment="1">
      <alignment horizontal="right" vertical="center"/>
    </xf>
    <xf numFmtId="9" fontId="25" fillId="0" borderId="0" xfId="6" applyNumberFormat="1" applyFont="1" applyAlignment="1">
      <alignment vertical="center"/>
    </xf>
    <xf numFmtId="180" fontId="25" fillId="0" borderId="0" xfId="6" applyNumberFormat="1" applyFont="1" applyAlignment="1">
      <alignment vertical="center"/>
    </xf>
    <xf numFmtId="9" fontId="25" fillId="0" borderId="0" xfId="6" applyNumberFormat="1" applyFont="1" applyAlignment="1">
      <alignment horizontal="center" vertical="center"/>
    </xf>
    <xf numFmtId="188" fontId="45" fillId="0" borderId="0" xfId="6" applyNumberFormat="1" applyFont="1" applyAlignment="1">
      <alignment vertical="center"/>
    </xf>
    <xf numFmtId="180" fontId="25" fillId="2" borderId="9" xfId="9" applyNumberFormat="1" applyFont="1" applyFill="1" applyBorder="1" applyAlignment="1" applyProtection="1">
      <alignment vertical="center"/>
      <protection locked="0"/>
    </xf>
    <xf numFmtId="0" fontId="25" fillId="0" borderId="0" xfId="6" applyFont="1" applyAlignment="1">
      <alignment vertical="center"/>
    </xf>
    <xf numFmtId="0" fontId="15" fillId="0" borderId="0" xfId="6" applyFont="1" applyAlignment="1">
      <alignment horizontal="left" vertical="center"/>
    </xf>
    <xf numFmtId="182" fontId="11" fillId="0" borderId="0" xfId="6" applyNumberFormat="1" applyFont="1" applyAlignment="1">
      <alignment vertical="center"/>
    </xf>
    <xf numFmtId="0" fontId="16" fillId="10" borderId="1" xfId="6" applyFont="1" applyFill="1" applyBorder="1" applyAlignment="1">
      <alignment vertical="center"/>
    </xf>
    <xf numFmtId="0" fontId="16" fillId="10" borderId="2" xfId="6" applyFont="1" applyFill="1" applyBorder="1" applyAlignment="1">
      <alignment vertical="center"/>
    </xf>
    <xf numFmtId="185" fontId="16" fillId="10" borderId="2" xfId="6" applyNumberFormat="1" applyFont="1" applyFill="1" applyBorder="1" applyAlignment="1">
      <alignment vertical="center"/>
    </xf>
    <xf numFmtId="0" fontId="33" fillId="10" borderId="2" xfId="6" applyFont="1" applyFill="1" applyBorder="1" applyAlignment="1">
      <alignment vertical="center"/>
    </xf>
    <xf numFmtId="9" fontId="16" fillId="10" borderId="2" xfId="8" applyFont="1" applyFill="1" applyBorder="1" applyAlignment="1" applyProtection="1">
      <alignment horizontal="center" vertical="center"/>
    </xf>
    <xf numFmtId="180" fontId="17" fillId="10" borderId="2" xfId="8" applyNumberFormat="1" applyFont="1" applyFill="1" applyBorder="1" applyAlignment="1" applyProtection="1">
      <alignment horizontal="center" vertical="center"/>
    </xf>
    <xf numFmtId="10" fontId="17" fillId="10" borderId="2" xfId="8" applyNumberFormat="1" applyFont="1" applyFill="1" applyBorder="1" applyAlignment="1" applyProtection="1">
      <alignment horizontal="center" vertical="center"/>
    </xf>
    <xf numFmtId="0" fontId="10" fillId="0" borderId="0" xfId="6" applyFont="1" applyAlignment="1">
      <alignment vertical="center"/>
    </xf>
    <xf numFmtId="0" fontId="10" fillId="0" borderId="0" xfId="6" applyFont="1" applyAlignment="1" applyProtection="1">
      <alignment horizontal="left" vertical="center"/>
      <protection locked="0"/>
    </xf>
    <xf numFmtId="0" fontId="10" fillId="0" borderId="0" xfId="6" applyFont="1" applyAlignment="1" applyProtection="1">
      <alignment horizontal="center" vertical="center"/>
      <protection locked="0"/>
    </xf>
    <xf numFmtId="0" fontId="10" fillId="0" borderId="0" xfId="6" applyFont="1" applyAlignment="1">
      <alignment horizontal="left" vertical="center"/>
    </xf>
    <xf numFmtId="0" fontId="10" fillId="0" borderId="0" xfId="6" applyFont="1" applyAlignment="1">
      <alignment horizontal="right" vertical="center"/>
    </xf>
    <xf numFmtId="176" fontId="20" fillId="0" borderId="3" xfId="1" applyNumberFormat="1" applyFont="1" applyBorder="1" applyAlignment="1" applyProtection="1">
      <alignment horizontal="center"/>
    </xf>
    <xf numFmtId="0" fontId="9" fillId="0" borderId="0" xfId="6" applyFont="1"/>
    <xf numFmtId="0" fontId="9" fillId="0" borderId="0" xfId="6" applyFont="1" applyAlignment="1">
      <alignment horizontal="right" vertical="center"/>
    </xf>
    <xf numFmtId="176" fontId="46" fillId="0" borderId="3" xfId="1" applyNumberFormat="1" applyFont="1" applyBorder="1" applyAlignment="1" applyProtection="1">
      <alignment horizontal="center"/>
    </xf>
    <xf numFmtId="176" fontId="46" fillId="0" borderId="3" xfId="1" applyNumberFormat="1" applyFont="1" applyBorder="1" applyProtection="1"/>
    <xf numFmtId="176" fontId="9" fillId="0" borderId="0" xfId="6" applyNumberFormat="1" applyFont="1"/>
    <xf numFmtId="0" fontId="46" fillId="0" borderId="0" xfId="6" applyFont="1"/>
    <xf numFmtId="0" fontId="36" fillId="0" borderId="0" xfId="6" applyFont="1"/>
    <xf numFmtId="176" fontId="36" fillId="0" borderId="3" xfId="1" applyNumberFormat="1" applyFont="1" applyBorder="1" applyAlignment="1" applyProtection="1">
      <alignment horizontal="center"/>
    </xf>
    <xf numFmtId="176" fontId="36" fillId="0" borderId="3" xfId="1" applyNumberFormat="1" applyFont="1" applyBorder="1" applyProtection="1"/>
    <xf numFmtId="9" fontId="9" fillId="0" borderId="0" xfId="6" applyNumberFormat="1" applyFont="1" applyAlignment="1">
      <alignment horizontal="left"/>
    </xf>
    <xf numFmtId="176" fontId="17" fillId="5" borderId="3" xfId="1" applyNumberFormat="1" applyFont="1" applyFill="1" applyBorder="1" applyAlignment="1" applyProtection="1">
      <alignment horizontal="center"/>
    </xf>
    <xf numFmtId="176" fontId="17" fillId="5" borderId="3" xfId="1" applyNumberFormat="1" applyFont="1" applyFill="1" applyBorder="1" applyProtection="1"/>
    <xf numFmtId="0" fontId="36" fillId="0" borderId="0" xfId="6" applyFont="1" applyAlignment="1">
      <alignment horizontal="center"/>
    </xf>
    <xf numFmtId="0" fontId="36" fillId="0" borderId="3" xfId="6" applyFont="1" applyBorder="1" applyAlignment="1">
      <alignment horizontal="center"/>
    </xf>
    <xf numFmtId="10" fontId="47" fillId="0" borderId="3" xfId="8" applyNumberFormat="1" applyFont="1" applyBorder="1" applyAlignment="1" applyProtection="1">
      <alignment horizontal="right"/>
    </xf>
    <xf numFmtId="0" fontId="24" fillId="0" borderId="0" xfId="6" applyFont="1"/>
    <xf numFmtId="0" fontId="43" fillId="0" borderId="0" xfId="6" applyFont="1" applyAlignment="1">
      <alignment vertical="center"/>
    </xf>
    <xf numFmtId="180" fontId="23" fillId="0" borderId="0" xfId="6" applyNumberFormat="1" applyFont="1" applyAlignment="1">
      <alignment vertical="center"/>
    </xf>
    <xf numFmtId="190" fontId="37" fillId="0" borderId="0" xfId="6" applyNumberFormat="1" applyFont="1"/>
    <xf numFmtId="176" fontId="36" fillId="2" borderId="0" xfId="1" applyNumberFormat="1" applyFont="1" applyFill="1" applyBorder="1" applyAlignment="1" applyProtection="1">
      <alignment horizontal="right"/>
    </xf>
    <xf numFmtId="0" fontId="11" fillId="0" borderId="14" xfId="6" applyFont="1" applyBorder="1" applyAlignment="1">
      <alignment horizontal="left" vertical="center"/>
    </xf>
    <xf numFmtId="0" fontId="10" fillId="0" borderId="0" xfId="6" applyFont="1" applyAlignment="1" applyProtection="1">
      <alignment vertical="center"/>
      <protection locked="0"/>
    </xf>
    <xf numFmtId="0" fontId="11" fillId="0" borderId="14" xfId="6" applyFont="1" applyBorder="1" applyAlignment="1" applyProtection="1">
      <alignment vertical="center"/>
      <protection locked="0"/>
    </xf>
    <xf numFmtId="0" fontId="11" fillId="0" borderId="14" xfId="6" applyFont="1" applyBorder="1" applyAlignment="1">
      <alignment vertical="center"/>
    </xf>
    <xf numFmtId="0" fontId="11" fillId="0" borderId="14" xfId="6" applyFont="1" applyBorder="1" applyAlignment="1">
      <alignment horizontal="left" vertical="center"/>
    </xf>
    <xf numFmtId="0" fontId="10" fillId="0" borderId="0" xfId="6" applyFont="1" applyAlignment="1" applyProtection="1">
      <alignment vertical="center"/>
      <protection locked="0"/>
    </xf>
    <xf numFmtId="0" fontId="10" fillId="0" borderId="0" xfId="6" applyFont="1" applyAlignment="1">
      <alignment horizontal="center" vertical="center"/>
    </xf>
    <xf numFmtId="0" fontId="11" fillId="0" borderId="8" xfId="6" applyFont="1" applyBorder="1" applyAlignment="1" applyProtection="1">
      <alignment vertical="center"/>
      <protection locked="0"/>
    </xf>
    <xf numFmtId="0" fontId="11" fillId="0" borderId="8" xfId="6" applyFont="1" applyBorder="1" applyAlignment="1">
      <alignment vertical="center"/>
    </xf>
    <xf numFmtId="0" fontId="10" fillId="4" borderId="12" xfId="6" applyFont="1" applyFill="1" applyBorder="1" applyAlignment="1" applyProtection="1">
      <alignment horizontal="left" vertical="center"/>
      <protection locked="0"/>
    </xf>
    <xf numFmtId="0" fontId="11" fillId="0" borderId="13" xfId="6" applyFont="1" applyBorder="1" applyAlignment="1" applyProtection="1">
      <alignment horizontal="left" vertical="center"/>
      <protection locked="0"/>
    </xf>
    <xf numFmtId="0" fontId="11" fillId="0" borderId="13" xfId="6" applyFont="1" applyBorder="1" applyAlignment="1" applyProtection="1">
      <alignment vertical="center"/>
      <protection locked="0"/>
    </xf>
    <xf numFmtId="10" fontId="47" fillId="0" borderId="3" xfId="8" applyNumberFormat="1" applyFont="1" applyBorder="1" applyAlignment="1" applyProtection="1">
      <alignment horizontal="center"/>
    </xf>
    <xf numFmtId="10" fontId="47" fillId="0" borderId="3" xfId="6" applyNumberFormat="1" applyFont="1" applyBorder="1" applyAlignment="1">
      <alignment horizontal="center"/>
    </xf>
    <xf numFmtId="0" fontId="49" fillId="0" borderId="10" xfId="6" applyFont="1" applyBorder="1" applyAlignment="1">
      <alignment horizontal="left" vertical="center"/>
    </xf>
    <xf numFmtId="180" fontId="10" fillId="0" borderId="0" xfId="6" applyNumberFormat="1" applyFont="1" applyAlignment="1">
      <alignment horizontal="center" vertical="center"/>
    </xf>
    <xf numFmtId="0" fontId="23" fillId="0" borderId="0" xfId="6" applyNumberFormat="1" applyFont="1" applyAlignment="1">
      <alignment horizontal="center" vertical="center"/>
    </xf>
    <xf numFmtId="0" fontId="11" fillId="0" borderId="0" xfId="6" applyNumberFormat="1" applyFont="1" applyAlignment="1">
      <alignment horizontal="center" vertical="center"/>
    </xf>
  </cellXfs>
  <cellStyles count="17">
    <cellStyle name="一般" xfId="0" builtinId="0"/>
    <cellStyle name="一般 2" xfId="5" xr:uid="{00000000-0005-0000-0000-000001000000}"/>
    <cellStyle name="一般 2 2" xfId="2" xr:uid="{00000000-0005-0000-0000-000002000000}"/>
    <cellStyle name="一般 2 2 2" xfId="3" xr:uid="{00000000-0005-0000-0000-000003000000}"/>
    <cellStyle name="一般_Quotation20061019-亞耕 FI CO BPI 2" xfId="6" xr:uid="{00000000-0005-0000-0000-000008000000}"/>
    <cellStyle name="千分位 2" xfId="1" xr:uid="{00000000-0005-0000-0000-00000B000000}"/>
    <cellStyle name="千分位 2 2" xfId="10" xr:uid="{00000000-0005-0000-0000-00000C000000}"/>
    <cellStyle name="千分位 2 2 2" xfId="14" xr:uid="{00000000-0005-0000-0000-00000D000000}"/>
    <cellStyle name="千分位 2 3" xfId="12" xr:uid="{00000000-0005-0000-0000-00000E000000}"/>
    <cellStyle name="千分位 3 2" xfId="4" xr:uid="{00000000-0005-0000-0000-00000F000000}"/>
    <cellStyle name="千分位 3 2 2" xfId="11" xr:uid="{00000000-0005-0000-0000-000010000000}"/>
    <cellStyle name="千分位 3 2 2 2" xfId="15" xr:uid="{00000000-0005-0000-0000-000011000000}"/>
    <cellStyle name="千分位 3 2 3" xfId="13" xr:uid="{00000000-0005-0000-0000-000012000000}"/>
    <cellStyle name="百分比 2" xfId="8" xr:uid="{00000000-0005-0000-0000-000013000000}"/>
    <cellStyle name="貨幣 [0]_Quotation20061019-亞耕 FI CO BPI 2" xfId="9" xr:uid="{00000000-0005-0000-0000-000015000000}"/>
    <cellStyle name="貨幣 2" xfId="16" xr:uid="{00000000-0005-0000-0000-000016000000}"/>
    <cellStyle name="超連結_Quotation20061019-亞耕 FI CO BPI" xfId="7" xr:uid="{00000000-0005-0000-0000-000017000000}"/>
  </cellStyles>
  <dxfs count="2">
    <dxf>
      <fill>
        <patternFill>
          <bgColor indexed="42"/>
        </patternFill>
      </fill>
    </dxf>
    <dxf>
      <font>
        <b val="0"/>
        <i/>
        <condense val="0"/>
        <extend val="0"/>
      </font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115</xdr:row>
      <xdr:rowOff>6350</xdr:rowOff>
    </xdr:from>
    <xdr:to>
      <xdr:col>1</xdr:col>
      <xdr:colOff>368300</xdr:colOff>
      <xdr:row>115</xdr:row>
      <xdr:rowOff>6350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19050" y="19513550"/>
          <a:ext cx="19265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118</xdr:row>
      <xdr:rowOff>6350</xdr:rowOff>
    </xdr:from>
    <xdr:to>
      <xdr:col>1</xdr:col>
      <xdr:colOff>368300</xdr:colOff>
      <xdr:row>118</xdr:row>
      <xdr:rowOff>6350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 bwMode="auto">
        <a:xfrm>
          <a:off x="19050" y="20062190"/>
          <a:ext cx="19265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118</xdr:row>
      <xdr:rowOff>0</xdr:rowOff>
    </xdr:from>
    <xdr:to>
      <xdr:col>3</xdr:col>
      <xdr:colOff>419100</xdr:colOff>
      <xdr:row>118</xdr:row>
      <xdr:rowOff>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2442210" y="20055840"/>
          <a:ext cx="25107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115</xdr:row>
      <xdr:rowOff>6350</xdr:rowOff>
    </xdr:from>
    <xdr:to>
      <xdr:col>1</xdr:col>
      <xdr:colOff>615950</xdr:colOff>
      <xdr:row>115</xdr:row>
      <xdr:rowOff>6350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19050" y="19513550"/>
          <a:ext cx="21742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118</xdr:row>
      <xdr:rowOff>6350</xdr:rowOff>
    </xdr:from>
    <xdr:to>
      <xdr:col>1</xdr:col>
      <xdr:colOff>368300</xdr:colOff>
      <xdr:row>118</xdr:row>
      <xdr:rowOff>6350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ShapeType="1"/>
        </xdr:cNvSpPr>
      </xdr:nvSpPr>
      <xdr:spPr bwMode="auto">
        <a:xfrm>
          <a:off x="19050" y="20062190"/>
          <a:ext cx="19265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118</xdr:row>
      <xdr:rowOff>6350</xdr:rowOff>
    </xdr:from>
    <xdr:to>
      <xdr:col>1</xdr:col>
      <xdr:colOff>635000</xdr:colOff>
      <xdr:row>118</xdr:row>
      <xdr:rowOff>6350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ShapeType="1"/>
        </xdr:cNvSpPr>
      </xdr:nvSpPr>
      <xdr:spPr bwMode="auto">
        <a:xfrm>
          <a:off x="19050" y="20062190"/>
          <a:ext cx="21932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177800</xdr:colOff>
      <xdr:row>115</xdr:row>
      <xdr:rowOff>6350</xdr:rowOff>
    </xdr:from>
    <xdr:to>
      <xdr:col>3</xdr:col>
      <xdr:colOff>412750</xdr:colOff>
      <xdr:row>115</xdr:row>
      <xdr:rowOff>6350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ShapeType="1"/>
        </xdr:cNvSpPr>
      </xdr:nvSpPr>
      <xdr:spPr bwMode="auto">
        <a:xfrm>
          <a:off x="2448560" y="19513550"/>
          <a:ext cx="249809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171450</xdr:colOff>
      <xdr:row>115</xdr:row>
      <xdr:rowOff>6350</xdr:rowOff>
    </xdr:from>
    <xdr:to>
      <xdr:col>6</xdr:col>
      <xdr:colOff>323850</xdr:colOff>
      <xdr:row>115</xdr:row>
      <xdr:rowOff>6350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ShapeType="1"/>
        </xdr:cNvSpPr>
      </xdr:nvSpPr>
      <xdr:spPr bwMode="auto">
        <a:xfrm>
          <a:off x="8385810" y="19513550"/>
          <a:ext cx="1950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673100</xdr:colOff>
      <xdr:row>115</xdr:row>
      <xdr:rowOff>6350</xdr:rowOff>
    </xdr:from>
    <xdr:to>
      <xdr:col>7</xdr:col>
      <xdr:colOff>889000</xdr:colOff>
      <xdr:row>115</xdr:row>
      <xdr:rowOff>6350</xdr:rowOff>
    </xdr:to>
    <xdr:sp macro="" textlink="">
      <xdr:nvSpPr>
        <xdr:cNvPr id="10" name="Line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ShapeType="1"/>
        </xdr:cNvSpPr>
      </xdr:nvSpPr>
      <xdr:spPr bwMode="auto">
        <a:xfrm>
          <a:off x="10685780" y="19513550"/>
          <a:ext cx="15722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127000</xdr:colOff>
      <xdr:row>115</xdr:row>
      <xdr:rowOff>6350</xdr:rowOff>
    </xdr:from>
    <xdr:to>
      <xdr:col>7</xdr:col>
      <xdr:colOff>914400</xdr:colOff>
      <xdr:row>115</xdr:row>
      <xdr:rowOff>6350</xdr:rowOff>
    </xdr:to>
    <xdr:sp macro="" textlink="">
      <xdr:nvSpPr>
        <xdr:cNvPr id="11" name="Line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>
          <a:off x="11496040" y="19513550"/>
          <a:ext cx="7874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158750</xdr:colOff>
      <xdr:row>118</xdr:row>
      <xdr:rowOff>0</xdr:rowOff>
    </xdr:from>
    <xdr:to>
      <xdr:col>6</xdr:col>
      <xdr:colOff>311150</xdr:colOff>
      <xdr:row>118</xdr:row>
      <xdr:rowOff>0</xdr:rowOff>
    </xdr:to>
    <xdr:sp macro="" textlink="">
      <xdr:nvSpPr>
        <xdr:cNvPr id="12" name="Line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>
          <a:off x="8373110" y="20055840"/>
          <a:ext cx="19507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673100</xdr:colOff>
      <xdr:row>115</xdr:row>
      <xdr:rowOff>6350</xdr:rowOff>
    </xdr:from>
    <xdr:to>
      <xdr:col>7</xdr:col>
      <xdr:colOff>889000</xdr:colOff>
      <xdr:row>115</xdr:row>
      <xdr:rowOff>6350</xdr:rowOff>
    </xdr:to>
    <xdr:sp macro="" textlink="">
      <xdr:nvSpPr>
        <xdr:cNvPr id="13" name="Line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10685780" y="19513550"/>
          <a:ext cx="15722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673100</xdr:colOff>
      <xdr:row>118</xdr:row>
      <xdr:rowOff>12700</xdr:rowOff>
    </xdr:from>
    <xdr:to>
      <xdr:col>7</xdr:col>
      <xdr:colOff>882650</xdr:colOff>
      <xdr:row>118</xdr:row>
      <xdr:rowOff>12700</xdr:rowOff>
    </xdr:to>
    <xdr:sp macro="" textlink="">
      <xdr:nvSpPr>
        <xdr:cNvPr id="14" name="Line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10685780" y="20068540"/>
          <a:ext cx="1565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2</xdr:row>
          <xdr:rowOff>69850</xdr:rowOff>
        </xdr:from>
        <xdr:to>
          <xdr:col>1</xdr:col>
          <xdr:colOff>469900</xdr:colOff>
          <xdr:row>3</xdr:row>
          <xdr:rowOff>31750</xdr:rowOff>
        </xdr:to>
        <xdr:sp macro="" textlink="">
          <xdr:nvSpPr>
            <xdr:cNvPr id="11265" name="OptionButton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1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69850</xdr:rowOff>
        </xdr:from>
        <xdr:to>
          <xdr:col>4</xdr:col>
          <xdr:colOff>203200</xdr:colOff>
          <xdr:row>3</xdr:row>
          <xdr:rowOff>31750</xdr:rowOff>
        </xdr:to>
        <xdr:sp macro="" textlink="">
          <xdr:nvSpPr>
            <xdr:cNvPr id="11266" name="OptionButton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1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>
    <tabColor rgb="FFFF0000"/>
    <pageSetUpPr fitToPage="1"/>
  </sheetPr>
  <dimension ref="A1:N126"/>
  <sheetViews>
    <sheetView showGridLines="0" tabSelected="1" zoomScale="120" zoomScaleNormal="120" zoomScaleSheetLayoutView="85" workbookViewId="0">
      <selection sqref="A1:H1"/>
    </sheetView>
  </sheetViews>
  <sheetFormatPr defaultColWidth="8" defaultRowHeight="10.5"/>
  <cols>
    <col min="1" max="1" width="23" style="244" customWidth="1"/>
    <col min="2" max="2" width="10.08984375" style="244" customWidth="1"/>
    <col min="3" max="3" width="33" style="244" customWidth="1"/>
    <col min="4" max="4" width="53.6328125" style="244" bestFit="1" customWidth="1"/>
    <col min="5" max="6" width="14.453125" style="244" customWidth="1"/>
    <col min="7" max="7" width="19.81640625" style="244" bestFit="1" customWidth="1"/>
    <col min="8" max="8" width="18.08984375" style="244" bestFit="1" customWidth="1"/>
    <col min="9" max="9" width="1.08984375" style="244" customWidth="1"/>
    <col min="10" max="10" width="7.81640625" style="244" customWidth="1"/>
    <col min="11" max="11" width="6.6328125" style="244" customWidth="1"/>
    <col min="12" max="12" width="16.453125" style="244" bestFit="1" customWidth="1"/>
    <col min="13" max="13" width="3.08984375" style="244" customWidth="1"/>
    <col min="14" max="14" width="6.81640625" style="244" bestFit="1" customWidth="1"/>
    <col min="15" max="15" width="10.36328125" style="244" bestFit="1" customWidth="1"/>
    <col min="16" max="256" width="8" style="244"/>
    <col min="257" max="257" width="18.81640625" style="244" customWidth="1"/>
    <col min="258" max="258" width="10.08984375" style="244" customWidth="1"/>
    <col min="259" max="259" width="18.08984375" style="244" bestFit="1" customWidth="1"/>
    <col min="260" max="261" width="14.08984375" style="244" customWidth="1"/>
    <col min="262" max="262" width="10.6328125" style="244" customWidth="1"/>
    <col min="263" max="263" width="11.81640625" style="244" customWidth="1"/>
    <col min="264" max="264" width="15.36328125" style="244" bestFit="1" customWidth="1"/>
    <col min="265" max="265" width="1.08984375" style="244" customWidth="1"/>
    <col min="266" max="266" width="7.81640625" style="244" customWidth="1"/>
    <col min="267" max="267" width="6.6328125" style="244" customWidth="1"/>
    <col min="268" max="268" width="11.453125" style="244" bestFit="1" customWidth="1"/>
    <col min="269" max="269" width="3.08984375" style="244" customWidth="1"/>
    <col min="270" max="270" width="6.81640625" style="244" bestFit="1" customWidth="1"/>
    <col min="271" max="271" width="10.36328125" style="244" bestFit="1" customWidth="1"/>
    <col min="272" max="512" width="8" style="244"/>
    <col min="513" max="513" width="18.81640625" style="244" customWidth="1"/>
    <col min="514" max="514" width="10.08984375" style="244" customWidth="1"/>
    <col min="515" max="515" width="18.08984375" style="244" bestFit="1" customWidth="1"/>
    <col min="516" max="517" width="14.08984375" style="244" customWidth="1"/>
    <col min="518" max="518" width="10.6328125" style="244" customWidth="1"/>
    <col min="519" max="519" width="11.81640625" style="244" customWidth="1"/>
    <col min="520" max="520" width="15.36328125" style="244" bestFit="1" customWidth="1"/>
    <col min="521" max="521" width="1.08984375" style="244" customWidth="1"/>
    <col min="522" max="522" width="7.81640625" style="244" customWidth="1"/>
    <col min="523" max="523" width="6.6328125" style="244" customWidth="1"/>
    <col min="524" max="524" width="11.453125" style="244" bestFit="1" customWidth="1"/>
    <col min="525" max="525" width="3.08984375" style="244" customWidth="1"/>
    <col min="526" max="526" width="6.81640625" style="244" bestFit="1" customWidth="1"/>
    <col min="527" max="527" width="10.36328125" style="244" bestFit="1" customWidth="1"/>
    <col min="528" max="768" width="8" style="244"/>
    <col min="769" max="769" width="18.81640625" style="244" customWidth="1"/>
    <col min="770" max="770" width="10.08984375" style="244" customWidth="1"/>
    <col min="771" max="771" width="18.08984375" style="244" bestFit="1" customWidth="1"/>
    <col min="772" max="773" width="14.08984375" style="244" customWidth="1"/>
    <col min="774" max="774" width="10.6328125" style="244" customWidth="1"/>
    <col min="775" max="775" width="11.81640625" style="244" customWidth="1"/>
    <col min="776" max="776" width="15.36328125" style="244" bestFit="1" customWidth="1"/>
    <col min="777" max="777" width="1.08984375" style="244" customWidth="1"/>
    <col min="778" max="778" width="7.81640625" style="244" customWidth="1"/>
    <col min="779" max="779" width="6.6328125" style="244" customWidth="1"/>
    <col min="780" max="780" width="11.453125" style="244" bestFit="1" customWidth="1"/>
    <col min="781" max="781" width="3.08984375" style="244" customWidth="1"/>
    <col min="782" max="782" width="6.81640625" style="244" bestFit="1" customWidth="1"/>
    <col min="783" max="783" width="10.36328125" style="244" bestFit="1" customWidth="1"/>
    <col min="784" max="1024" width="8" style="244"/>
    <col min="1025" max="1025" width="18.81640625" style="244" customWidth="1"/>
    <col min="1026" max="1026" width="10.08984375" style="244" customWidth="1"/>
    <col min="1027" max="1027" width="18.08984375" style="244" bestFit="1" customWidth="1"/>
    <col min="1028" max="1029" width="14.08984375" style="244" customWidth="1"/>
    <col min="1030" max="1030" width="10.6328125" style="244" customWidth="1"/>
    <col min="1031" max="1031" width="11.81640625" style="244" customWidth="1"/>
    <col min="1032" max="1032" width="15.36328125" style="244" bestFit="1" customWidth="1"/>
    <col min="1033" max="1033" width="1.08984375" style="244" customWidth="1"/>
    <col min="1034" max="1034" width="7.81640625" style="244" customWidth="1"/>
    <col min="1035" max="1035" width="6.6328125" style="244" customWidth="1"/>
    <col min="1036" max="1036" width="11.453125" style="244" bestFit="1" customWidth="1"/>
    <col min="1037" max="1037" width="3.08984375" style="244" customWidth="1"/>
    <col min="1038" max="1038" width="6.81640625" style="244" bestFit="1" customWidth="1"/>
    <col min="1039" max="1039" width="10.36328125" style="244" bestFit="1" customWidth="1"/>
    <col min="1040" max="1280" width="8" style="244"/>
    <col min="1281" max="1281" width="18.81640625" style="244" customWidth="1"/>
    <col min="1282" max="1282" width="10.08984375" style="244" customWidth="1"/>
    <col min="1283" max="1283" width="18.08984375" style="244" bestFit="1" customWidth="1"/>
    <col min="1284" max="1285" width="14.08984375" style="244" customWidth="1"/>
    <col min="1286" max="1286" width="10.6328125" style="244" customWidth="1"/>
    <col min="1287" max="1287" width="11.81640625" style="244" customWidth="1"/>
    <col min="1288" max="1288" width="15.36328125" style="244" bestFit="1" customWidth="1"/>
    <col min="1289" max="1289" width="1.08984375" style="244" customWidth="1"/>
    <col min="1290" max="1290" width="7.81640625" style="244" customWidth="1"/>
    <col min="1291" max="1291" width="6.6328125" style="244" customWidth="1"/>
    <col min="1292" max="1292" width="11.453125" style="244" bestFit="1" customWidth="1"/>
    <col min="1293" max="1293" width="3.08984375" style="244" customWidth="1"/>
    <col min="1294" max="1294" width="6.81640625" style="244" bestFit="1" customWidth="1"/>
    <col min="1295" max="1295" width="10.36328125" style="244" bestFit="1" customWidth="1"/>
    <col min="1296" max="1536" width="8" style="244"/>
    <col min="1537" max="1537" width="18.81640625" style="244" customWidth="1"/>
    <col min="1538" max="1538" width="10.08984375" style="244" customWidth="1"/>
    <col min="1539" max="1539" width="18.08984375" style="244" bestFit="1" customWidth="1"/>
    <col min="1540" max="1541" width="14.08984375" style="244" customWidth="1"/>
    <col min="1542" max="1542" width="10.6328125" style="244" customWidth="1"/>
    <col min="1543" max="1543" width="11.81640625" style="244" customWidth="1"/>
    <col min="1544" max="1544" width="15.36328125" style="244" bestFit="1" customWidth="1"/>
    <col min="1545" max="1545" width="1.08984375" style="244" customWidth="1"/>
    <col min="1546" max="1546" width="7.81640625" style="244" customWidth="1"/>
    <col min="1547" max="1547" width="6.6328125" style="244" customWidth="1"/>
    <col min="1548" max="1548" width="11.453125" style="244" bestFit="1" customWidth="1"/>
    <col min="1549" max="1549" width="3.08984375" style="244" customWidth="1"/>
    <col min="1550" max="1550" width="6.81640625" style="244" bestFit="1" customWidth="1"/>
    <col min="1551" max="1551" width="10.36328125" style="244" bestFit="1" customWidth="1"/>
    <col min="1552" max="1792" width="8" style="244"/>
    <col min="1793" max="1793" width="18.81640625" style="244" customWidth="1"/>
    <col min="1794" max="1794" width="10.08984375" style="244" customWidth="1"/>
    <col min="1795" max="1795" width="18.08984375" style="244" bestFit="1" customWidth="1"/>
    <col min="1796" max="1797" width="14.08984375" style="244" customWidth="1"/>
    <col min="1798" max="1798" width="10.6328125" style="244" customWidth="1"/>
    <col min="1799" max="1799" width="11.81640625" style="244" customWidth="1"/>
    <col min="1800" max="1800" width="15.36328125" style="244" bestFit="1" customWidth="1"/>
    <col min="1801" max="1801" width="1.08984375" style="244" customWidth="1"/>
    <col min="1802" max="1802" width="7.81640625" style="244" customWidth="1"/>
    <col min="1803" max="1803" width="6.6328125" style="244" customWidth="1"/>
    <col min="1804" max="1804" width="11.453125" style="244" bestFit="1" customWidth="1"/>
    <col min="1805" max="1805" width="3.08984375" style="244" customWidth="1"/>
    <col min="1806" max="1806" width="6.81640625" style="244" bestFit="1" customWidth="1"/>
    <col min="1807" max="1807" width="10.36328125" style="244" bestFit="1" customWidth="1"/>
    <col min="1808" max="2048" width="8" style="244"/>
    <col min="2049" max="2049" width="18.81640625" style="244" customWidth="1"/>
    <col min="2050" max="2050" width="10.08984375" style="244" customWidth="1"/>
    <col min="2051" max="2051" width="18.08984375" style="244" bestFit="1" customWidth="1"/>
    <col min="2052" max="2053" width="14.08984375" style="244" customWidth="1"/>
    <col min="2054" max="2054" width="10.6328125" style="244" customWidth="1"/>
    <col min="2055" max="2055" width="11.81640625" style="244" customWidth="1"/>
    <col min="2056" max="2056" width="15.36328125" style="244" bestFit="1" customWidth="1"/>
    <col min="2057" max="2057" width="1.08984375" style="244" customWidth="1"/>
    <col min="2058" max="2058" width="7.81640625" style="244" customWidth="1"/>
    <col min="2059" max="2059" width="6.6328125" style="244" customWidth="1"/>
    <col min="2060" max="2060" width="11.453125" style="244" bestFit="1" customWidth="1"/>
    <col min="2061" max="2061" width="3.08984375" style="244" customWidth="1"/>
    <col min="2062" max="2062" width="6.81640625" style="244" bestFit="1" customWidth="1"/>
    <col min="2063" max="2063" width="10.36328125" style="244" bestFit="1" customWidth="1"/>
    <col min="2064" max="2304" width="8" style="244"/>
    <col min="2305" max="2305" width="18.81640625" style="244" customWidth="1"/>
    <col min="2306" max="2306" width="10.08984375" style="244" customWidth="1"/>
    <col min="2307" max="2307" width="18.08984375" style="244" bestFit="1" customWidth="1"/>
    <col min="2308" max="2309" width="14.08984375" style="244" customWidth="1"/>
    <col min="2310" max="2310" width="10.6328125" style="244" customWidth="1"/>
    <col min="2311" max="2311" width="11.81640625" style="244" customWidth="1"/>
    <col min="2312" max="2312" width="15.36328125" style="244" bestFit="1" customWidth="1"/>
    <col min="2313" max="2313" width="1.08984375" style="244" customWidth="1"/>
    <col min="2314" max="2314" width="7.81640625" style="244" customWidth="1"/>
    <col min="2315" max="2315" width="6.6328125" style="244" customWidth="1"/>
    <col min="2316" max="2316" width="11.453125" style="244" bestFit="1" customWidth="1"/>
    <col min="2317" max="2317" width="3.08984375" style="244" customWidth="1"/>
    <col min="2318" max="2318" width="6.81640625" style="244" bestFit="1" customWidth="1"/>
    <col min="2319" max="2319" width="10.36328125" style="244" bestFit="1" customWidth="1"/>
    <col min="2320" max="2560" width="8" style="244"/>
    <col min="2561" max="2561" width="18.81640625" style="244" customWidth="1"/>
    <col min="2562" max="2562" width="10.08984375" style="244" customWidth="1"/>
    <col min="2563" max="2563" width="18.08984375" style="244" bestFit="1" customWidth="1"/>
    <col min="2564" max="2565" width="14.08984375" style="244" customWidth="1"/>
    <col min="2566" max="2566" width="10.6328125" style="244" customWidth="1"/>
    <col min="2567" max="2567" width="11.81640625" style="244" customWidth="1"/>
    <col min="2568" max="2568" width="15.36328125" style="244" bestFit="1" customWidth="1"/>
    <col min="2569" max="2569" width="1.08984375" style="244" customWidth="1"/>
    <col min="2570" max="2570" width="7.81640625" style="244" customWidth="1"/>
    <col min="2571" max="2571" width="6.6328125" style="244" customWidth="1"/>
    <col min="2572" max="2572" width="11.453125" style="244" bestFit="1" customWidth="1"/>
    <col min="2573" max="2573" width="3.08984375" style="244" customWidth="1"/>
    <col min="2574" max="2574" width="6.81640625" style="244" bestFit="1" customWidth="1"/>
    <col min="2575" max="2575" width="10.36328125" style="244" bestFit="1" customWidth="1"/>
    <col min="2576" max="2816" width="8" style="244"/>
    <col min="2817" max="2817" width="18.81640625" style="244" customWidth="1"/>
    <col min="2818" max="2818" width="10.08984375" style="244" customWidth="1"/>
    <col min="2819" max="2819" width="18.08984375" style="244" bestFit="1" customWidth="1"/>
    <col min="2820" max="2821" width="14.08984375" style="244" customWidth="1"/>
    <col min="2822" max="2822" width="10.6328125" style="244" customWidth="1"/>
    <col min="2823" max="2823" width="11.81640625" style="244" customWidth="1"/>
    <col min="2824" max="2824" width="15.36328125" style="244" bestFit="1" customWidth="1"/>
    <col min="2825" max="2825" width="1.08984375" style="244" customWidth="1"/>
    <col min="2826" max="2826" width="7.81640625" style="244" customWidth="1"/>
    <col min="2827" max="2827" width="6.6328125" style="244" customWidth="1"/>
    <col min="2828" max="2828" width="11.453125" style="244" bestFit="1" customWidth="1"/>
    <col min="2829" max="2829" width="3.08984375" style="244" customWidth="1"/>
    <col min="2830" max="2830" width="6.81640625" style="244" bestFit="1" customWidth="1"/>
    <col min="2831" max="2831" width="10.36328125" style="244" bestFit="1" customWidth="1"/>
    <col min="2832" max="3072" width="8" style="244"/>
    <col min="3073" max="3073" width="18.81640625" style="244" customWidth="1"/>
    <col min="3074" max="3074" width="10.08984375" style="244" customWidth="1"/>
    <col min="3075" max="3075" width="18.08984375" style="244" bestFit="1" customWidth="1"/>
    <col min="3076" max="3077" width="14.08984375" style="244" customWidth="1"/>
    <col min="3078" max="3078" width="10.6328125" style="244" customWidth="1"/>
    <col min="3079" max="3079" width="11.81640625" style="244" customWidth="1"/>
    <col min="3080" max="3080" width="15.36328125" style="244" bestFit="1" customWidth="1"/>
    <col min="3081" max="3081" width="1.08984375" style="244" customWidth="1"/>
    <col min="3082" max="3082" width="7.81640625" style="244" customWidth="1"/>
    <col min="3083" max="3083" width="6.6328125" style="244" customWidth="1"/>
    <col min="3084" max="3084" width="11.453125" style="244" bestFit="1" customWidth="1"/>
    <col min="3085" max="3085" width="3.08984375" style="244" customWidth="1"/>
    <col min="3086" max="3086" width="6.81640625" style="244" bestFit="1" customWidth="1"/>
    <col min="3087" max="3087" width="10.36328125" style="244" bestFit="1" customWidth="1"/>
    <col min="3088" max="3328" width="8" style="244"/>
    <col min="3329" max="3329" width="18.81640625" style="244" customWidth="1"/>
    <col min="3330" max="3330" width="10.08984375" style="244" customWidth="1"/>
    <col min="3331" max="3331" width="18.08984375" style="244" bestFit="1" customWidth="1"/>
    <col min="3332" max="3333" width="14.08984375" style="244" customWidth="1"/>
    <col min="3334" max="3334" width="10.6328125" style="244" customWidth="1"/>
    <col min="3335" max="3335" width="11.81640625" style="244" customWidth="1"/>
    <col min="3336" max="3336" width="15.36328125" style="244" bestFit="1" customWidth="1"/>
    <col min="3337" max="3337" width="1.08984375" style="244" customWidth="1"/>
    <col min="3338" max="3338" width="7.81640625" style="244" customWidth="1"/>
    <col min="3339" max="3339" width="6.6328125" style="244" customWidth="1"/>
    <col min="3340" max="3340" width="11.453125" style="244" bestFit="1" customWidth="1"/>
    <col min="3341" max="3341" width="3.08984375" style="244" customWidth="1"/>
    <col min="3342" max="3342" width="6.81640625" style="244" bestFit="1" customWidth="1"/>
    <col min="3343" max="3343" width="10.36328125" style="244" bestFit="1" customWidth="1"/>
    <col min="3344" max="3584" width="8" style="244"/>
    <col min="3585" max="3585" width="18.81640625" style="244" customWidth="1"/>
    <col min="3586" max="3586" width="10.08984375" style="244" customWidth="1"/>
    <col min="3587" max="3587" width="18.08984375" style="244" bestFit="1" customWidth="1"/>
    <col min="3588" max="3589" width="14.08984375" style="244" customWidth="1"/>
    <col min="3590" max="3590" width="10.6328125" style="244" customWidth="1"/>
    <col min="3591" max="3591" width="11.81640625" style="244" customWidth="1"/>
    <col min="3592" max="3592" width="15.36328125" style="244" bestFit="1" customWidth="1"/>
    <col min="3593" max="3593" width="1.08984375" style="244" customWidth="1"/>
    <col min="3594" max="3594" width="7.81640625" style="244" customWidth="1"/>
    <col min="3595" max="3595" width="6.6328125" style="244" customWidth="1"/>
    <col min="3596" max="3596" width="11.453125" style="244" bestFit="1" customWidth="1"/>
    <col min="3597" max="3597" width="3.08984375" style="244" customWidth="1"/>
    <col min="3598" max="3598" width="6.81640625" style="244" bestFit="1" customWidth="1"/>
    <col min="3599" max="3599" width="10.36328125" style="244" bestFit="1" customWidth="1"/>
    <col min="3600" max="3840" width="8" style="244"/>
    <col min="3841" max="3841" width="18.81640625" style="244" customWidth="1"/>
    <col min="3842" max="3842" width="10.08984375" style="244" customWidth="1"/>
    <col min="3843" max="3843" width="18.08984375" style="244" bestFit="1" customWidth="1"/>
    <col min="3844" max="3845" width="14.08984375" style="244" customWidth="1"/>
    <col min="3846" max="3846" width="10.6328125" style="244" customWidth="1"/>
    <col min="3847" max="3847" width="11.81640625" style="244" customWidth="1"/>
    <col min="3848" max="3848" width="15.36328125" style="244" bestFit="1" customWidth="1"/>
    <col min="3849" max="3849" width="1.08984375" style="244" customWidth="1"/>
    <col min="3850" max="3850" width="7.81640625" style="244" customWidth="1"/>
    <col min="3851" max="3851" width="6.6328125" style="244" customWidth="1"/>
    <col min="3852" max="3852" width="11.453125" style="244" bestFit="1" customWidth="1"/>
    <col min="3853" max="3853" width="3.08984375" style="244" customWidth="1"/>
    <col min="3854" max="3854" width="6.81640625" style="244" bestFit="1" customWidth="1"/>
    <col min="3855" max="3855" width="10.36328125" style="244" bestFit="1" customWidth="1"/>
    <col min="3856" max="4096" width="8" style="244"/>
    <col min="4097" max="4097" width="18.81640625" style="244" customWidth="1"/>
    <col min="4098" max="4098" width="10.08984375" style="244" customWidth="1"/>
    <col min="4099" max="4099" width="18.08984375" style="244" bestFit="1" customWidth="1"/>
    <col min="4100" max="4101" width="14.08984375" style="244" customWidth="1"/>
    <col min="4102" max="4102" width="10.6328125" style="244" customWidth="1"/>
    <col min="4103" max="4103" width="11.81640625" style="244" customWidth="1"/>
    <col min="4104" max="4104" width="15.36328125" style="244" bestFit="1" customWidth="1"/>
    <col min="4105" max="4105" width="1.08984375" style="244" customWidth="1"/>
    <col min="4106" max="4106" width="7.81640625" style="244" customWidth="1"/>
    <col min="4107" max="4107" width="6.6328125" style="244" customWidth="1"/>
    <col min="4108" max="4108" width="11.453125" style="244" bestFit="1" customWidth="1"/>
    <col min="4109" max="4109" width="3.08984375" style="244" customWidth="1"/>
    <col min="4110" max="4110" width="6.81640625" style="244" bestFit="1" customWidth="1"/>
    <col min="4111" max="4111" width="10.36328125" style="244" bestFit="1" customWidth="1"/>
    <col min="4112" max="4352" width="8" style="244"/>
    <col min="4353" max="4353" width="18.81640625" style="244" customWidth="1"/>
    <col min="4354" max="4354" width="10.08984375" style="244" customWidth="1"/>
    <col min="4355" max="4355" width="18.08984375" style="244" bestFit="1" customWidth="1"/>
    <col min="4356" max="4357" width="14.08984375" style="244" customWidth="1"/>
    <col min="4358" max="4358" width="10.6328125" style="244" customWidth="1"/>
    <col min="4359" max="4359" width="11.81640625" style="244" customWidth="1"/>
    <col min="4360" max="4360" width="15.36328125" style="244" bestFit="1" customWidth="1"/>
    <col min="4361" max="4361" width="1.08984375" style="244" customWidth="1"/>
    <col min="4362" max="4362" width="7.81640625" style="244" customWidth="1"/>
    <col min="4363" max="4363" width="6.6328125" style="244" customWidth="1"/>
    <col min="4364" max="4364" width="11.453125" style="244" bestFit="1" customWidth="1"/>
    <col min="4365" max="4365" width="3.08984375" style="244" customWidth="1"/>
    <col min="4366" max="4366" width="6.81640625" style="244" bestFit="1" customWidth="1"/>
    <col min="4367" max="4367" width="10.36328125" style="244" bestFit="1" customWidth="1"/>
    <col min="4368" max="4608" width="8" style="244"/>
    <col min="4609" max="4609" width="18.81640625" style="244" customWidth="1"/>
    <col min="4610" max="4610" width="10.08984375" style="244" customWidth="1"/>
    <col min="4611" max="4611" width="18.08984375" style="244" bestFit="1" customWidth="1"/>
    <col min="4612" max="4613" width="14.08984375" style="244" customWidth="1"/>
    <col min="4614" max="4614" width="10.6328125" style="244" customWidth="1"/>
    <col min="4615" max="4615" width="11.81640625" style="244" customWidth="1"/>
    <col min="4616" max="4616" width="15.36328125" style="244" bestFit="1" customWidth="1"/>
    <col min="4617" max="4617" width="1.08984375" style="244" customWidth="1"/>
    <col min="4618" max="4618" width="7.81640625" style="244" customWidth="1"/>
    <col min="4619" max="4619" width="6.6328125" style="244" customWidth="1"/>
    <col min="4620" max="4620" width="11.453125" style="244" bestFit="1" customWidth="1"/>
    <col min="4621" max="4621" width="3.08984375" style="244" customWidth="1"/>
    <col min="4622" max="4622" width="6.81640625" style="244" bestFit="1" customWidth="1"/>
    <col min="4623" max="4623" width="10.36328125" style="244" bestFit="1" customWidth="1"/>
    <col min="4624" max="4864" width="8" style="244"/>
    <col min="4865" max="4865" width="18.81640625" style="244" customWidth="1"/>
    <col min="4866" max="4866" width="10.08984375" style="244" customWidth="1"/>
    <col min="4867" max="4867" width="18.08984375" style="244" bestFit="1" customWidth="1"/>
    <col min="4868" max="4869" width="14.08984375" style="244" customWidth="1"/>
    <col min="4870" max="4870" width="10.6328125" style="244" customWidth="1"/>
    <col min="4871" max="4871" width="11.81640625" style="244" customWidth="1"/>
    <col min="4872" max="4872" width="15.36328125" style="244" bestFit="1" customWidth="1"/>
    <col min="4873" max="4873" width="1.08984375" style="244" customWidth="1"/>
    <col min="4874" max="4874" width="7.81640625" style="244" customWidth="1"/>
    <col min="4875" max="4875" width="6.6328125" style="244" customWidth="1"/>
    <col min="4876" max="4876" width="11.453125" style="244" bestFit="1" customWidth="1"/>
    <col min="4877" max="4877" width="3.08984375" style="244" customWidth="1"/>
    <col min="4878" max="4878" width="6.81640625" style="244" bestFit="1" customWidth="1"/>
    <col min="4879" max="4879" width="10.36328125" style="244" bestFit="1" customWidth="1"/>
    <col min="4880" max="5120" width="8" style="244"/>
    <col min="5121" max="5121" width="18.81640625" style="244" customWidth="1"/>
    <col min="5122" max="5122" width="10.08984375" style="244" customWidth="1"/>
    <col min="5123" max="5123" width="18.08984375" style="244" bestFit="1" customWidth="1"/>
    <col min="5124" max="5125" width="14.08984375" style="244" customWidth="1"/>
    <col min="5126" max="5126" width="10.6328125" style="244" customWidth="1"/>
    <col min="5127" max="5127" width="11.81640625" style="244" customWidth="1"/>
    <col min="5128" max="5128" width="15.36328125" style="244" bestFit="1" customWidth="1"/>
    <col min="5129" max="5129" width="1.08984375" style="244" customWidth="1"/>
    <col min="5130" max="5130" width="7.81640625" style="244" customWidth="1"/>
    <col min="5131" max="5131" width="6.6328125" style="244" customWidth="1"/>
    <col min="5132" max="5132" width="11.453125" style="244" bestFit="1" customWidth="1"/>
    <col min="5133" max="5133" width="3.08984375" style="244" customWidth="1"/>
    <col min="5134" max="5134" width="6.81640625" style="244" bestFit="1" customWidth="1"/>
    <col min="5135" max="5135" width="10.36328125" style="244" bestFit="1" customWidth="1"/>
    <col min="5136" max="5376" width="8" style="244"/>
    <col min="5377" max="5377" width="18.81640625" style="244" customWidth="1"/>
    <col min="5378" max="5378" width="10.08984375" style="244" customWidth="1"/>
    <col min="5379" max="5379" width="18.08984375" style="244" bestFit="1" customWidth="1"/>
    <col min="5380" max="5381" width="14.08984375" style="244" customWidth="1"/>
    <col min="5382" max="5382" width="10.6328125" style="244" customWidth="1"/>
    <col min="5383" max="5383" width="11.81640625" style="244" customWidth="1"/>
    <col min="5384" max="5384" width="15.36328125" style="244" bestFit="1" customWidth="1"/>
    <col min="5385" max="5385" width="1.08984375" style="244" customWidth="1"/>
    <col min="5386" max="5386" width="7.81640625" style="244" customWidth="1"/>
    <col min="5387" max="5387" width="6.6328125" style="244" customWidth="1"/>
    <col min="5388" max="5388" width="11.453125" style="244" bestFit="1" customWidth="1"/>
    <col min="5389" max="5389" width="3.08984375" style="244" customWidth="1"/>
    <col min="5390" max="5390" width="6.81640625" style="244" bestFit="1" customWidth="1"/>
    <col min="5391" max="5391" width="10.36328125" style="244" bestFit="1" customWidth="1"/>
    <col min="5392" max="5632" width="8" style="244"/>
    <col min="5633" max="5633" width="18.81640625" style="244" customWidth="1"/>
    <col min="5634" max="5634" width="10.08984375" style="244" customWidth="1"/>
    <col min="5635" max="5635" width="18.08984375" style="244" bestFit="1" customWidth="1"/>
    <col min="5636" max="5637" width="14.08984375" style="244" customWidth="1"/>
    <col min="5638" max="5638" width="10.6328125" style="244" customWidth="1"/>
    <col min="5639" max="5639" width="11.81640625" style="244" customWidth="1"/>
    <col min="5640" max="5640" width="15.36328125" style="244" bestFit="1" customWidth="1"/>
    <col min="5641" max="5641" width="1.08984375" style="244" customWidth="1"/>
    <col min="5642" max="5642" width="7.81640625" style="244" customWidth="1"/>
    <col min="5643" max="5643" width="6.6328125" style="244" customWidth="1"/>
    <col min="5644" max="5644" width="11.453125" style="244" bestFit="1" customWidth="1"/>
    <col min="5645" max="5645" width="3.08984375" style="244" customWidth="1"/>
    <col min="5646" max="5646" width="6.81640625" style="244" bestFit="1" customWidth="1"/>
    <col min="5647" max="5647" width="10.36328125" style="244" bestFit="1" customWidth="1"/>
    <col min="5648" max="5888" width="8" style="244"/>
    <col min="5889" max="5889" width="18.81640625" style="244" customWidth="1"/>
    <col min="5890" max="5890" width="10.08984375" style="244" customWidth="1"/>
    <col min="5891" max="5891" width="18.08984375" style="244" bestFit="1" customWidth="1"/>
    <col min="5892" max="5893" width="14.08984375" style="244" customWidth="1"/>
    <col min="5894" max="5894" width="10.6328125" style="244" customWidth="1"/>
    <col min="5895" max="5895" width="11.81640625" style="244" customWidth="1"/>
    <col min="5896" max="5896" width="15.36328125" style="244" bestFit="1" customWidth="1"/>
    <col min="5897" max="5897" width="1.08984375" style="244" customWidth="1"/>
    <col min="5898" max="5898" width="7.81640625" style="244" customWidth="1"/>
    <col min="5899" max="5899" width="6.6328125" style="244" customWidth="1"/>
    <col min="5900" max="5900" width="11.453125" style="244" bestFit="1" customWidth="1"/>
    <col min="5901" max="5901" width="3.08984375" style="244" customWidth="1"/>
    <col min="5902" max="5902" width="6.81640625" style="244" bestFit="1" customWidth="1"/>
    <col min="5903" max="5903" width="10.36328125" style="244" bestFit="1" customWidth="1"/>
    <col min="5904" max="6144" width="8" style="244"/>
    <col min="6145" max="6145" width="18.81640625" style="244" customWidth="1"/>
    <col min="6146" max="6146" width="10.08984375" style="244" customWidth="1"/>
    <col min="6147" max="6147" width="18.08984375" style="244" bestFit="1" customWidth="1"/>
    <col min="6148" max="6149" width="14.08984375" style="244" customWidth="1"/>
    <col min="6150" max="6150" width="10.6328125" style="244" customWidth="1"/>
    <col min="6151" max="6151" width="11.81640625" style="244" customWidth="1"/>
    <col min="6152" max="6152" width="15.36328125" style="244" bestFit="1" customWidth="1"/>
    <col min="6153" max="6153" width="1.08984375" style="244" customWidth="1"/>
    <col min="6154" max="6154" width="7.81640625" style="244" customWidth="1"/>
    <col min="6155" max="6155" width="6.6328125" style="244" customWidth="1"/>
    <col min="6156" max="6156" width="11.453125" style="244" bestFit="1" customWidth="1"/>
    <col min="6157" max="6157" width="3.08984375" style="244" customWidth="1"/>
    <col min="6158" max="6158" width="6.81640625" style="244" bestFit="1" customWidth="1"/>
    <col min="6159" max="6159" width="10.36328125" style="244" bestFit="1" customWidth="1"/>
    <col min="6160" max="6400" width="8" style="244"/>
    <col min="6401" max="6401" width="18.81640625" style="244" customWidth="1"/>
    <col min="6402" max="6402" width="10.08984375" style="244" customWidth="1"/>
    <col min="6403" max="6403" width="18.08984375" style="244" bestFit="1" customWidth="1"/>
    <col min="6404" max="6405" width="14.08984375" style="244" customWidth="1"/>
    <col min="6406" max="6406" width="10.6328125" style="244" customWidth="1"/>
    <col min="6407" max="6407" width="11.81640625" style="244" customWidth="1"/>
    <col min="6408" max="6408" width="15.36328125" style="244" bestFit="1" customWidth="1"/>
    <col min="6409" max="6409" width="1.08984375" style="244" customWidth="1"/>
    <col min="6410" max="6410" width="7.81640625" style="244" customWidth="1"/>
    <col min="6411" max="6411" width="6.6328125" style="244" customWidth="1"/>
    <col min="6412" max="6412" width="11.453125" style="244" bestFit="1" customWidth="1"/>
    <col min="6413" max="6413" width="3.08984375" style="244" customWidth="1"/>
    <col min="6414" max="6414" width="6.81640625" style="244" bestFit="1" customWidth="1"/>
    <col min="6415" max="6415" width="10.36328125" style="244" bestFit="1" customWidth="1"/>
    <col min="6416" max="6656" width="8" style="244"/>
    <col min="6657" max="6657" width="18.81640625" style="244" customWidth="1"/>
    <col min="6658" max="6658" width="10.08984375" style="244" customWidth="1"/>
    <col min="6659" max="6659" width="18.08984375" style="244" bestFit="1" customWidth="1"/>
    <col min="6660" max="6661" width="14.08984375" style="244" customWidth="1"/>
    <col min="6662" max="6662" width="10.6328125" style="244" customWidth="1"/>
    <col min="6663" max="6663" width="11.81640625" style="244" customWidth="1"/>
    <col min="6664" max="6664" width="15.36328125" style="244" bestFit="1" customWidth="1"/>
    <col min="6665" max="6665" width="1.08984375" style="244" customWidth="1"/>
    <col min="6666" max="6666" width="7.81640625" style="244" customWidth="1"/>
    <col min="6667" max="6667" width="6.6328125" style="244" customWidth="1"/>
    <col min="6668" max="6668" width="11.453125" style="244" bestFit="1" customWidth="1"/>
    <col min="6669" max="6669" width="3.08984375" style="244" customWidth="1"/>
    <col min="6670" max="6670" width="6.81640625" style="244" bestFit="1" customWidth="1"/>
    <col min="6671" max="6671" width="10.36328125" style="244" bestFit="1" customWidth="1"/>
    <col min="6672" max="6912" width="8" style="244"/>
    <col min="6913" max="6913" width="18.81640625" style="244" customWidth="1"/>
    <col min="6914" max="6914" width="10.08984375" style="244" customWidth="1"/>
    <col min="6915" max="6915" width="18.08984375" style="244" bestFit="1" customWidth="1"/>
    <col min="6916" max="6917" width="14.08984375" style="244" customWidth="1"/>
    <col min="6918" max="6918" width="10.6328125" style="244" customWidth="1"/>
    <col min="6919" max="6919" width="11.81640625" style="244" customWidth="1"/>
    <col min="6920" max="6920" width="15.36328125" style="244" bestFit="1" customWidth="1"/>
    <col min="6921" max="6921" width="1.08984375" style="244" customWidth="1"/>
    <col min="6922" max="6922" width="7.81640625" style="244" customWidth="1"/>
    <col min="6923" max="6923" width="6.6328125" style="244" customWidth="1"/>
    <col min="6924" max="6924" width="11.453125" style="244" bestFit="1" customWidth="1"/>
    <col min="6925" max="6925" width="3.08984375" style="244" customWidth="1"/>
    <col min="6926" max="6926" width="6.81640625" style="244" bestFit="1" customWidth="1"/>
    <col min="6927" max="6927" width="10.36328125" style="244" bestFit="1" customWidth="1"/>
    <col min="6928" max="7168" width="8" style="244"/>
    <col min="7169" max="7169" width="18.81640625" style="244" customWidth="1"/>
    <col min="7170" max="7170" width="10.08984375" style="244" customWidth="1"/>
    <col min="7171" max="7171" width="18.08984375" style="244" bestFit="1" customWidth="1"/>
    <col min="7172" max="7173" width="14.08984375" style="244" customWidth="1"/>
    <col min="7174" max="7174" width="10.6328125" style="244" customWidth="1"/>
    <col min="7175" max="7175" width="11.81640625" style="244" customWidth="1"/>
    <col min="7176" max="7176" width="15.36328125" style="244" bestFit="1" customWidth="1"/>
    <col min="7177" max="7177" width="1.08984375" style="244" customWidth="1"/>
    <col min="7178" max="7178" width="7.81640625" style="244" customWidth="1"/>
    <col min="7179" max="7179" width="6.6328125" style="244" customWidth="1"/>
    <col min="7180" max="7180" width="11.453125" style="244" bestFit="1" customWidth="1"/>
    <col min="7181" max="7181" width="3.08984375" style="244" customWidth="1"/>
    <col min="7182" max="7182" width="6.81640625" style="244" bestFit="1" customWidth="1"/>
    <col min="7183" max="7183" width="10.36328125" style="244" bestFit="1" customWidth="1"/>
    <col min="7184" max="7424" width="8" style="244"/>
    <col min="7425" max="7425" width="18.81640625" style="244" customWidth="1"/>
    <col min="7426" max="7426" width="10.08984375" style="244" customWidth="1"/>
    <col min="7427" max="7427" width="18.08984375" style="244" bestFit="1" customWidth="1"/>
    <col min="7428" max="7429" width="14.08984375" style="244" customWidth="1"/>
    <col min="7430" max="7430" width="10.6328125" style="244" customWidth="1"/>
    <col min="7431" max="7431" width="11.81640625" style="244" customWidth="1"/>
    <col min="7432" max="7432" width="15.36328125" style="244" bestFit="1" customWidth="1"/>
    <col min="7433" max="7433" width="1.08984375" style="244" customWidth="1"/>
    <col min="7434" max="7434" width="7.81640625" style="244" customWidth="1"/>
    <col min="7435" max="7435" width="6.6328125" style="244" customWidth="1"/>
    <col min="7436" max="7436" width="11.453125" style="244" bestFit="1" customWidth="1"/>
    <col min="7437" max="7437" width="3.08984375" style="244" customWidth="1"/>
    <col min="7438" max="7438" width="6.81640625" style="244" bestFit="1" customWidth="1"/>
    <col min="7439" max="7439" width="10.36328125" style="244" bestFit="1" customWidth="1"/>
    <col min="7440" max="7680" width="8" style="244"/>
    <col min="7681" max="7681" width="18.81640625" style="244" customWidth="1"/>
    <col min="7682" max="7682" width="10.08984375" style="244" customWidth="1"/>
    <col min="7683" max="7683" width="18.08984375" style="244" bestFit="1" customWidth="1"/>
    <col min="7684" max="7685" width="14.08984375" style="244" customWidth="1"/>
    <col min="7686" max="7686" width="10.6328125" style="244" customWidth="1"/>
    <col min="7687" max="7687" width="11.81640625" style="244" customWidth="1"/>
    <col min="7688" max="7688" width="15.36328125" style="244" bestFit="1" customWidth="1"/>
    <col min="7689" max="7689" width="1.08984375" style="244" customWidth="1"/>
    <col min="7690" max="7690" width="7.81640625" style="244" customWidth="1"/>
    <col min="7691" max="7691" width="6.6328125" style="244" customWidth="1"/>
    <col min="7692" max="7692" width="11.453125" style="244" bestFit="1" customWidth="1"/>
    <col min="7693" max="7693" width="3.08984375" style="244" customWidth="1"/>
    <col min="7694" max="7694" width="6.81640625" style="244" bestFit="1" customWidth="1"/>
    <col min="7695" max="7695" width="10.36328125" style="244" bestFit="1" customWidth="1"/>
    <col min="7696" max="7936" width="8" style="244"/>
    <col min="7937" max="7937" width="18.81640625" style="244" customWidth="1"/>
    <col min="7938" max="7938" width="10.08984375" style="244" customWidth="1"/>
    <col min="7939" max="7939" width="18.08984375" style="244" bestFit="1" customWidth="1"/>
    <col min="7940" max="7941" width="14.08984375" style="244" customWidth="1"/>
    <col min="7942" max="7942" width="10.6328125" style="244" customWidth="1"/>
    <col min="7943" max="7943" width="11.81640625" style="244" customWidth="1"/>
    <col min="7944" max="7944" width="15.36328125" style="244" bestFit="1" customWidth="1"/>
    <col min="7945" max="7945" width="1.08984375" style="244" customWidth="1"/>
    <col min="7946" max="7946" width="7.81640625" style="244" customWidth="1"/>
    <col min="7947" max="7947" width="6.6328125" style="244" customWidth="1"/>
    <col min="7948" max="7948" width="11.453125" style="244" bestFit="1" customWidth="1"/>
    <col min="7949" max="7949" width="3.08984375" style="244" customWidth="1"/>
    <col min="7950" max="7950" width="6.81640625" style="244" bestFit="1" customWidth="1"/>
    <col min="7951" max="7951" width="10.36328125" style="244" bestFit="1" customWidth="1"/>
    <col min="7952" max="8192" width="8" style="244"/>
    <col min="8193" max="8193" width="18.81640625" style="244" customWidth="1"/>
    <col min="8194" max="8194" width="10.08984375" style="244" customWidth="1"/>
    <col min="8195" max="8195" width="18.08984375" style="244" bestFit="1" customWidth="1"/>
    <col min="8196" max="8197" width="14.08984375" style="244" customWidth="1"/>
    <col min="8198" max="8198" width="10.6328125" style="244" customWidth="1"/>
    <col min="8199" max="8199" width="11.81640625" style="244" customWidth="1"/>
    <col min="8200" max="8200" width="15.36328125" style="244" bestFit="1" customWidth="1"/>
    <col min="8201" max="8201" width="1.08984375" style="244" customWidth="1"/>
    <col min="8202" max="8202" width="7.81640625" style="244" customWidth="1"/>
    <col min="8203" max="8203" width="6.6328125" style="244" customWidth="1"/>
    <col min="8204" max="8204" width="11.453125" style="244" bestFit="1" customWidth="1"/>
    <col min="8205" max="8205" width="3.08984375" style="244" customWidth="1"/>
    <col min="8206" max="8206" width="6.81640625" style="244" bestFit="1" customWidth="1"/>
    <col min="8207" max="8207" width="10.36328125" style="244" bestFit="1" customWidth="1"/>
    <col min="8208" max="8448" width="8" style="244"/>
    <col min="8449" max="8449" width="18.81640625" style="244" customWidth="1"/>
    <col min="8450" max="8450" width="10.08984375" style="244" customWidth="1"/>
    <col min="8451" max="8451" width="18.08984375" style="244" bestFit="1" customWidth="1"/>
    <col min="8452" max="8453" width="14.08984375" style="244" customWidth="1"/>
    <col min="8454" max="8454" width="10.6328125" style="244" customWidth="1"/>
    <col min="8455" max="8455" width="11.81640625" style="244" customWidth="1"/>
    <col min="8456" max="8456" width="15.36328125" style="244" bestFit="1" customWidth="1"/>
    <col min="8457" max="8457" width="1.08984375" style="244" customWidth="1"/>
    <col min="8458" max="8458" width="7.81640625" style="244" customWidth="1"/>
    <col min="8459" max="8459" width="6.6328125" style="244" customWidth="1"/>
    <col min="8460" max="8460" width="11.453125" style="244" bestFit="1" customWidth="1"/>
    <col min="8461" max="8461" width="3.08984375" style="244" customWidth="1"/>
    <col min="8462" max="8462" width="6.81640625" style="244" bestFit="1" customWidth="1"/>
    <col min="8463" max="8463" width="10.36328125" style="244" bestFit="1" customWidth="1"/>
    <col min="8464" max="8704" width="8" style="244"/>
    <col min="8705" max="8705" width="18.81640625" style="244" customWidth="1"/>
    <col min="8706" max="8706" width="10.08984375" style="244" customWidth="1"/>
    <col min="8707" max="8707" width="18.08984375" style="244" bestFit="1" customWidth="1"/>
    <col min="8708" max="8709" width="14.08984375" style="244" customWidth="1"/>
    <col min="8710" max="8710" width="10.6328125" style="244" customWidth="1"/>
    <col min="8711" max="8711" width="11.81640625" style="244" customWidth="1"/>
    <col min="8712" max="8712" width="15.36328125" style="244" bestFit="1" customWidth="1"/>
    <col min="8713" max="8713" width="1.08984375" style="244" customWidth="1"/>
    <col min="8714" max="8714" width="7.81640625" style="244" customWidth="1"/>
    <col min="8715" max="8715" width="6.6328125" style="244" customWidth="1"/>
    <col min="8716" max="8716" width="11.453125" style="244" bestFit="1" customWidth="1"/>
    <col min="8717" max="8717" width="3.08984375" style="244" customWidth="1"/>
    <col min="8718" max="8718" width="6.81640625" style="244" bestFit="1" customWidth="1"/>
    <col min="8719" max="8719" width="10.36328125" style="244" bestFit="1" customWidth="1"/>
    <col min="8720" max="8960" width="8" style="244"/>
    <col min="8961" max="8961" width="18.81640625" style="244" customWidth="1"/>
    <col min="8962" max="8962" width="10.08984375" style="244" customWidth="1"/>
    <col min="8963" max="8963" width="18.08984375" style="244" bestFit="1" customWidth="1"/>
    <col min="8964" max="8965" width="14.08984375" style="244" customWidth="1"/>
    <col min="8966" max="8966" width="10.6328125" style="244" customWidth="1"/>
    <col min="8967" max="8967" width="11.81640625" style="244" customWidth="1"/>
    <col min="8968" max="8968" width="15.36328125" style="244" bestFit="1" customWidth="1"/>
    <col min="8969" max="8969" width="1.08984375" style="244" customWidth="1"/>
    <col min="8970" max="8970" width="7.81640625" style="244" customWidth="1"/>
    <col min="8971" max="8971" width="6.6328125" style="244" customWidth="1"/>
    <col min="8972" max="8972" width="11.453125" style="244" bestFit="1" customWidth="1"/>
    <col min="8973" max="8973" width="3.08984375" style="244" customWidth="1"/>
    <col min="8974" max="8974" width="6.81640625" style="244" bestFit="1" customWidth="1"/>
    <col min="8975" max="8975" width="10.36328125" style="244" bestFit="1" customWidth="1"/>
    <col min="8976" max="9216" width="8" style="244"/>
    <col min="9217" max="9217" width="18.81640625" style="244" customWidth="1"/>
    <col min="9218" max="9218" width="10.08984375" style="244" customWidth="1"/>
    <col min="9219" max="9219" width="18.08984375" style="244" bestFit="1" customWidth="1"/>
    <col min="9220" max="9221" width="14.08984375" style="244" customWidth="1"/>
    <col min="9222" max="9222" width="10.6328125" style="244" customWidth="1"/>
    <col min="9223" max="9223" width="11.81640625" style="244" customWidth="1"/>
    <col min="9224" max="9224" width="15.36328125" style="244" bestFit="1" customWidth="1"/>
    <col min="9225" max="9225" width="1.08984375" style="244" customWidth="1"/>
    <col min="9226" max="9226" width="7.81640625" style="244" customWidth="1"/>
    <col min="9227" max="9227" width="6.6328125" style="244" customWidth="1"/>
    <col min="9228" max="9228" width="11.453125" style="244" bestFit="1" customWidth="1"/>
    <col min="9229" max="9229" width="3.08984375" style="244" customWidth="1"/>
    <col min="9230" max="9230" width="6.81640625" style="244" bestFit="1" customWidth="1"/>
    <col min="9231" max="9231" width="10.36328125" style="244" bestFit="1" customWidth="1"/>
    <col min="9232" max="9472" width="8" style="244"/>
    <col min="9473" max="9473" width="18.81640625" style="244" customWidth="1"/>
    <col min="9474" max="9474" width="10.08984375" style="244" customWidth="1"/>
    <col min="9475" max="9475" width="18.08984375" style="244" bestFit="1" customWidth="1"/>
    <col min="9476" max="9477" width="14.08984375" style="244" customWidth="1"/>
    <col min="9478" max="9478" width="10.6328125" style="244" customWidth="1"/>
    <col min="9479" max="9479" width="11.81640625" style="244" customWidth="1"/>
    <col min="9480" max="9480" width="15.36328125" style="244" bestFit="1" customWidth="1"/>
    <col min="9481" max="9481" width="1.08984375" style="244" customWidth="1"/>
    <col min="9482" max="9482" width="7.81640625" style="244" customWidth="1"/>
    <col min="9483" max="9483" width="6.6328125" style="244" customWidth="1"/>
    <col min="9484" max="9484" width="11.453125" style="244" bestFit="1" customWidth="1"/>
    <col min="9485" max="9485" width="3.08984375" style="244" customWidth="1"/>
    <col min="9486" max="9486" width="6.81640625" style="244" bestFit="1" customWidth="1"/>
    <col min="9487" max="9487" width="10.36328125" style="244" bestFit="1" customWidth="1"/>
    <col min="9488" max="9728" width="8" style="244"/>
    <col min="9729" max="9729" width="18.81640625" style="244" customWidth="1"/>
    <col min="9730" max="9730" width="10.08984375" style="244" customWidth="1"/>
    <col min="9731" max="9731" width="18.08984375" style="244" bestFit="1" customWidth="1"/>
    <col min="9732" max="9733" width="14.08984375" style="244" customWidth="1"/>
    <col min="9734" max="9734" width="10.6328125" style="244" customWidth="1"/>
    <col min="9735" max="9735" width="11.81640625" style="244" customWidth="1"/>
    <col min="9736" max="9736" width="15.36328125" style="244" bestFit="1" customWidth="1"/>
    <col min="9737" max="9737" width="1.08984375" style="244" customWidth="1"/>
    <col min="9738" max="9738" width="7.81640625" style="244" customWidth="1"/>
    <col min="9739" max="9739" width="6.6328125" style="244" customWidth="1"/>
    <col min="9740" max="9740" width="11.453125" style="244" bestFit="1" customWidth="1"/>
    <col min="9741" max="9741" width="3.08984375" style="244" customWidth="1"/>
    <col min="9742" max="9742" width="6.81640625" style="244" bestFit="1" customWidth="1"/>
    <col min="9743" max="9743" width="10.36328125" style="244" bestFit="1" customWidth="1"/>
    <col min="9744" max="9984" width="8" style="244"/>
    <col min="9985" max="9985" width="18.81640625" style="244" customWidth="1"/>
    <col min="9986" max="9986" width="10.08984375" style="244" customWidth="1"/>
    <col min="9987" max="9987" width="18.08984375" style="244" bestFit="1" customWidth="1"/>
    <col min="9988" max="9989" width="14.08984375" style="244" customWidth="1"/>
    <col min="9990" max="9990" width="10.6328125" style="244" customWidth="1"/>
    <col min="9991" max="9991" width="11.81640625" style="244" customWidth="1"/>
    <col min="9992" max="9992" width="15.36328125" style="244" bestFit="1" customWidth="1"/>
    <col min="9993" max="9993" width="1.08984375" style="244" customWidth="1"/>
    <col min="9994" max="9994" width="7.81640625" style="244" customWidth="1"/>
    <col min="9995" max="9995" width="6.6328125" style="244" customWidth="1"/>
    <col min="9996" max="9996" width="11.453125" style="244" bestFit="1" customWidth="1"/>
    <col min="9997" max="9997" width="3.08984375" style="244" customWidth="1"/>
    <col min="9998" max="9998" width="6.81640625" style="244" bestFit="1" customWidth="1"/>
    <col min="9999" max="9999" width="10.36328125" style="244" bestFit="1" customWidth="1"/>
    <col min="10000" max="10240" width="8" style="244"/>
    <col min="10241" max="10241" width="18.81640625" style="244" customWidth="1"/>
    <col min="10242" max="10242" width="10.08984375" style="244" customWidth="1"/>
    <col min="10243" max="10243" width="18.08984375" style="244" bestFit="1" customWidth="1"/>
    <col min="10244" max="10245" width="14.08984375" style="244" customWidth="1"/>
    <col min="10246" max="10246" width="10.6328125" style="244" customWidth="1"/>
    <col min="10247" max="10247" width="11.81640625" style="244" customWidth="1"/>
    <col min="10248" max="10248" width="15.36328125" style="244" bestFit="1" customWidth="1"/>
    <col min="10249" max="10249" width="1.08984375" style="244" customWidth="1"/>
    <col min="10250" max="10250" width="7.81640625" style="244" customWidth="1"/>
    <col min="10251" max="10251" width="6.6328125" style="244" customWidth="1"/>
    <col min="10252" max="10252" width="11.453125" style="244" bestFit="1" customWidth="1"/>
    <col min="10253" max="10253" width="3.08984375" style="244" customWidth="1"/>
    <col min="10254" max="10254" width="6.81640625" style="244" bestFit="1" customWidth="1"/>
    <col min="10255" max="10255" width="10.36328125" style="244" bestFit="1" customWidth="1"/>
    <col min="10256" max="10496" width="8" style="244"/>
    <col min="10497" max="10497" width="18.81640625" style="244" customWidth="1"/>
    <col min="10498" max="10498" width="10.08984375" style="244" customWidth="1"/>
    <col min="10499" max="10499" width="18.08984375" style="244" bestFit="1" customWidth="1"/>
    <col min="10500" max="10501" width="14.08984375" style="244" customWidth="1"/>
    <col min="10502" max="10502" width="10.6328125" style="244" customWidth="1"/>
    <col min="10503" max="10503" width="11.81640625" style="244" customWidth="1"/>
    <col min="10504" max="10504" width="15.36328125" style="244" bestFit="1" customWidth="1"/>
    <col min="10505" max="10505" width="1.08984375" style="244" customWidth="1"/>
    <col min="10506" max="10506" width="7.81640625" style="244" customWidth="1"/>
    <col min="10507" max="10507" width="6.6328125" style="244" customWidth="1"/>
    <col min="10508" max="10508" width="11.453125" style="244" bestFit="1" customWidth="1"/>
    <col min="10509" max="10509" width="3.08984375" style="244" customWidth="1"/>
    <col min="10510" max="10510" width="6.81640625" style="244" bestFit="1" customWidth="1"/>
    <col min="10511" max="10511" width="10.36328125" style="244" bestFit="1" customWidth="1"/>
    <col min="10512" max="10752" width="8" style="244"/>
    <col min="10753" max="10753" width="18.81640625" style="244" customWidth="1"/>
    <col min="10754" max="10754" width="10.08984375" style="244" customWidth="1"/>
    <col min="10755" max="10755" width="18.08984375" style="244" bestFit="1" customWidth="1"/>
    <col min="10756" max="10757" width="14.08984375" style="244" customWidth="1"/>
    <col min="10758" max="10758" width="10.6328125" style="244" customWidth="1"/>
    <col min="10759" max="10759" width="11.81640625" style="244" customWidth="1"/>
    <col min="10760" max="10760" width="15.36328125" style="244" bestFit="1" customWidth="1"/>
    <col min="10761" max="10761" width="1.08984375" style="244" customWidth="1"/>
    <col min="10762" max="10762" width="7.81640625" style="244" customWidth="1"/>
    <col min="10763" max="10763" width="6.6328125" style="244" customWidth="1"/>
    <col min="10764" max="10764" width="11.453125" style="244" bestFit="1" customWidth="1"/>
    <col min="10765" max="10765" width="3.08984375" style="244" customWidth="1"/>
    <col min="10766" max="10766" width="6.81640625" style="244" bestFit="1" customWidth="1"/>
    <col min="10767" max="10767" width="10.36328125" style="244" bestFit="1" customWidth="1"/>
    <col min="10768" max="11008" width="8" style="244"/>
    <col min="11009" max="11009" width="18.81640625" style="244" customWidth="1"/>
    <col min="11010" max="11010" width="10.08984375" style="244" customWidth="1"/>
    <col min="11011" max="11011" width="18.08984375" style="244" bestFit="1" customWidth="1"/>
    <col min="11012" max="11013" width="14.08984375" style="244" customWidth="1"/>
    <col min="11014" max="11014" width="10.6328125" style="244" customWidth="1"/>
    <col min="11015" max="11015" width="11.81640625" style="244" customWidth="1"/>
    <col min="11016" max="11016" width="15.36328125" style="244" bestFit="1" customWidth="1"/>
    <col min="11017" max="11017" width="1.08984375" style="244" customWidth="1"/>
    <col min="11018" max="11018" width="7.81640625" style="244" customWidth="1"/>
    <col min="11019" max="11019" width="6.6328125" style="244" customWidth="1"/>
    <col min="11020" max="11020" width="11.453125" style="244" bestFit="1" customWidth="1"/>
    <col min="11021" max="11021" width="3.08984375" style="244" customWidth="1"/>
    <col min="11022" max="11022" width="6.81640625" style="244" bestFit="1" customWidth="1"/>
    <col min="11023" max="11023" width="10.36328125" style="244" bestFit="1" customWidth="1"/>
    <col min="11024" max="11264" width="8" style="244"/>
    <col min="11265" max="11265" width="18.81640625" style="244" customWidth="1"/>
    <col min="11266" max="11266" width="10.08984375" style="244" customWidth="1"/>
    <col min="11267" max="11267" width="18.08984375" style="244" bestFit="1" customWidth="1"/>
    <col min="11268" max="11269" width="14.08984375" style="244" customWidth="1"/>
    <col min="11270" max="11270" width="10.6328125" style="244" customWidth="1"/>
    <col min="11271" max="11271" width="11.81640625" style="244" customWidth="1"/>
    <col min="11272" max="11272" width="15.36328125" style="244" bestFit="1" customWidth="1"/>
    <col min="11273" max="11273" width="1.08984375" style="244" customWidth="1"/>
    <col min="11274" max="11274" width="7.81640625" style="244" customWidth="1"/>
    <col min="11275" max="11275" width="6.6328125" style="244" customWidth="1"/>
    <col min="11276" max="11276" width="11.453125" style="244" bestFit="1" customWidth="1"/>
    <col min="11277" max="11277" width="3.08984375" style="244" customWidth="1"/>
    <col min="11278" max="11278" width="6.81640625" style="244" bestFit="1" customWidth="1"/>
    <col min="11279" max="11279" width="10.36328125" style="244" bestFit="1" customWidth="1"/>
    <col min="11280" max="11520" width="8" style="244"/>
    <col min="11521" max="11521" width="18.81640625" style="244" customWidth="1"/>
    <col min="11522" max="11522" width="10.08984375" style="244" customWidth="1"/>
    <col min="11523" max="11523" width="18.08984375" style="244" bestFit="1" customWidth="1"/>
    <col min="11524" max="11525" width="14.08984375" style="244" customWidth="1"/>
    <col min="11526" max="11526" width="10.6328125" style="244" customWidth="1"/>
    <col min="11527" max="11527" width="11.81640625" style="244" customWidth="1"/>
    <col min="11528" max="11528" width="15.36328125" style="244" bestFit="1" customWidth="1"/>
    <col min="11529" max="11529" width="1.08984375" style="244" customWidth="1"/>
    <col min="11530" max="11530" width="7.81640625" style="244" customWidth="1"/>
    <col min="11531" max="11531" width="6.6328125" style="244" customWidth="1"/>
    <col min="11532" max="11532" width="11.453125" style="244" bestFit="1" customWidth="1"/>
    <col min="11533" max="11533" width="3.08984375" style="244" customWidth="1"/>
    <col min="11534" max="11534" width="6.81640625" style="244" bestFit="1" customWidth="1"/>
    <col min="11535" max="11535" width="10.36328125" style="244" bestFit="1" customWidth="1"/>
    <col min="11536" max="11776" width="8" style="244"/>
    <col min="11777" max="11777" width="18.81640625" style="244" customWidth="1"/>
    <col min="11778" max="11778" width="10.08984375" style="244" customWidth="1"/>
    <col min="11779" max="11779" width="18.08984375" style="244" bestFit="1" customWidth="1"/>
    <col min="11780" max="11781" width="14.08984375" style="244" customWidth="1"/>
    <col min="11782" max="11782" width="10.6328125" style="244" customWidth="1"/>
    <col min="11783" max="11783" width="11.81640625" style="244" customWidth="1"/>
    <col min="11784" max="11784" width="15.36328125" style="244" bestFit="1" customWidth="1"/>
    <col min="11785" max="11785" width="1.08984375" style="244" customWidth="1"/>
    <col min="11786" max="11786" width="7.81640625" style="244" customWidth="1"/>
    <col min="11787" max="11787" width="6.6328125" style="244" customWidth="1"/>
    <col min="11788" max="11788" width="11.453125" style="244" bestFit="1" customWidth="1"/>
    <col min="11789" max="11789" width="3.08984375" style="244" customWidth="1"/>
    <col min="11790" max="11790" width="6.81640625" style="244" bestFit="1" customWidth="1"/>
    <col min="11791" max="11791" width="10.36328125" style="244" bestFit="1" customWidth="1"/>
    <col min="11792" max="12032" width="8" style="244"/>
    <col min="12033" max="12033" width="18.81640625" style="244" customWidth="1"/>
    <col min="12034" max="12034" width="10.08984375" style="244" customWidth="1"/>
    <col min="12035" max="12035" width="18.08984375" style="244" bestFit="1" customWidth="1"/>
    <col min="12036" max="12037" width="14.08984375" style="244" customWidth="1"/>
    <col min="12038" max="12038" width="10.6328125" style="244" customWidth="1"/>
    <col min="12039" max="12039" width="11.81640625" style="244" customWidth="1"/>
    <col min="12040" max="12040" width="15.36328125" style="244" bestFit="1" customWidth="1"/>
    <col min="12041" max="12041" width="1.08984375" style="244" customWidth="1"/>
    <col min="12042" max="12042" width="7.81640625" style="244" customWidth="1"/>
    <col min="12043" max="12043" width="6.6328125" style="244" customWidth="1"/>
    <col min="12044" max="12044" width="11.453125" style="244" bestFit="1" customWidth="1"/>
    <col min="12045" max="12045" width="3.08984375" style="244" customWidth="1"/>
    <col min="12046" max="12046" width="6.81640625" style="244" bestFit="1" customWidth="1"/>
    <col min="12047" max="12047" width="10.36328125" style="244" bestFit="1" customWidth="1"/>
    <col min="12048" max="12288" width="8" style="244"/>
    <col min="12289" max="12289" width="18.81640625" style="244" customWidth="1"/>
    <col min="12290" max="12290" width="10.08984375" style="244" customWidth="1"/>
    <col min="12291" max="12291" width="18.08984375" style="244" bestFit="1" customWidth="1"/>
    <col min="12292" max="12293" width="14.08984375" style="244" customWidth="1"/>
    <col min="12294" max="12294" width="10.6328125" style="244" customWidth="1"/>
    <col min="12295" max="12295" width="11.81640625" style="244" customWidth="1"/>
    <col min="12296" max="12296" width="15.36328125" style="244" bestFit="1" customWidth="1"/>
    <col min="12297" max="12297" width="1.08984375" style="244" customWidth="1"/>
    <col min="12298" max="12298" width="7.81640625" style="244" customWidth="1"/>
    <col min="12299" max="12299" width="6.6328125" style="244" customWidth="1"/>
    <col min="12300" max="12300" width="11.453125" style="244" bestFit="1" customWidth="1"/>
    <col min="12301" max="12301" width="3.08984375" style="244" customWidth="1"/>
    <col min="12302" max="12302" width="6.81640625" style="244" bestFit="1" customWidth="1"/>
    <col min="12303" max="12303" width="10.36328125" style="244" bestFit="1" customWidth="1"/>
    <col min="12304" max="12544" width="8" style="244"/>
    <col min="12545" max="12545" width="18.81640625" style="244" customWidth="1"/>
    <col min="12546" max="12546" width="10.08984375" style="244" customWidth="1"/>
    <col min="12547" max="12547" width="18.08984375" style="244" bestFit="1" customWidth="1"/>
    <col min="12548" max="12549" width="14.08984375" style="244" customWidth="1"/>
    <col min="12550" max="12550" width="10.6328125" style="244" customWidth="1"/>
    <col min="12551" max="12551" width="11.81640625" style="244" customWidth="1"/>
    <col min="12552" max="12552" width="15.36328125" style="244" bestFit="1" customWidth="1"/>
    <col min="12553" max="12553" width="1.08984375" style="244" customWidth="1"/>
    <col min="12554" max="12554" width="7.81640625" style="244" customWidth="1"/>
    <col min="12555" max="12555" width="6.6328125" style="244" customWidth="1"/>
    <col min="12556" max="12556" width="11.453125" style="244" bestFit="1" customWidth="1"/>
    <col min="12557" max="12557" width="3.08984375" style="244" customWidth="1"/>
    <col min="12558" max="12558" width="6.81640625" style="244" bestFit="1" customWidth="1"/>
    <col min="12559" max="12559" width="10.36328125" style="244" bestFit="1" customWidth="1"/>
    <col min="12560" max="12800" width="8" style="244"/>
    <col min="12801" max="12801" width="18.81640625" style="244" customWidth="1"/>
    <col min="12802" max="12802" width="10.08984375" style="244" customWidth="1"/>
    <col min="12803" max="12803" width="18.08984375" style="244" bestFit="1" customWidth="1"/>
    <col min="12804" max="12805" width="14.08984375" style="244" customWidth="1"/>
    <col min="12806" max="12806" width="10.6328125" style="244" customWidth="1"/>
    <col min="12807" max="12807" width="11.81640625" style="244" customWidth="1"/>
    <col min="12808" max="12808" width="15.36328125" style="244" bestFit="1" customWidth="1"/>
    <col min="12809" max="12809" width="1.08984375" style="244" customWidth="1"/>
    <col min="12810" max="12810" width="7.81640625" style="244" customWidth="1"/>
    <col min="12811" max="12811" width="6.6328125" style="244" customWidth="1"/>
    <col min="12812" max="12812" width="11.453125" style="244" bestFit="1" customWidth="1"/>
    <col min="12813" max="12813" width="3.08984375" style="244" customWidth="1"/>
    <col min="12814" max="12814" width="6.81640625" style="244" bestFit="1" customWidth="1"/>
    <col min="12815" max="12815" width="10.36328125" style="244" bestFit="1" customWidth="1"/>
    <col min="12816" max="13056" width="8" style="244"/>
    <col min="13057" max="13057" width="18.81640625" style="244" customWidth="1"/>
    <col min="13058" max="13058" width="10.08984375" style="244" customWidth="1"/>
    <col min="13059" max="13059" width="18.08984375" style="244" bestFit="1" customWidth="1"/>
    <col min="13060" max="13061" width="14.08984375" style="244" customWidth="1"/>
    <col min="13062" max="13062" width="10.6328125" style="244" customWidth="1"/>
    <col min="13063" max="13063" width="11.81640625" style="244" customWidth="1"/>
    <col min="13064" max="13064" width="15.36328125" style="244" bestFit="1" customWidth="1"/>
    <col min="13065" max="13065" width="1.08984375" style="244" customWidth="1"/>
    <col min="13066" max="13066" width="7.81640625" style="244" customWidth="1"/>
    <col min="13067" max="13067" width="6.6328125" style="244" customWidth="1"/>
    <col min="13068" max="13068" width="11.453125" style="244" bestFit="1" customWidth="1"/>
    <col min="13069" max="13069" width="3.08984375" style="244" customWidth="1"/>
    <col min="13070" max="13070" width="6.81640625" style="244" bestFit="1" customWidth="1"/>
    <col min="13071" max="13071" width="10.36328125" style="244" bestFit="1" customWidth="1"/>
    <col min="13072" max="13312" width="8" style="244"/>
    <col min="13313" max="13313" width="18.81640625" style="244" customWidth="1"/>
    <col min="13314" max="13314" width="10.08984375" style="244" customWidth="1"/>
    <col min="13315" max="13315" width="18.08984375" style="244" bestFit="1" customWidth="1"/>
    <col min="13316" max="13317" width="14.08984375" style="244" customWidth="1"/>
    <col min="13318" max="13318" width="10.6328125" style="244" customWidth="1"/>
    <col min="13319" max="13319" width="11.81640625" style="244" customWidth="1"/>
    <col min="13320" max="13320" width="15.36328125" style="244" bestFit="1" customWidth="1"/>
    <col min="13321" max="13321" width="1.08984375" style="244" customWidth="1"/>
    <col min="13322" max="13322" width="7.81640625" style="244" customWidth="1"/>
    <col min="13323" max="13323" width="6.6328125" style="244" customWidth="1"/>
    <col min="13324" max="13324" width="11.453125" style="244" bestFit="1" customWidth="1"/>
    <col min="13325" max="13325" width="3.08984375" style="244" customWidth="1"/>
    <col min="13326" max="13326" width="6.81640625" style="244" bestFit="1" customWidth="1"/>
    <col min="13327" max="13327" width="10.36328125" style="244" bestFit="1" customWidth="1"/>
    <col min="13328" max="13568" width="8" style="244"/>
    <col min="13569" max="13569" width="18.81640625" style="244" customWidth="1"/>
    <col min="13570" max="13570" width="10.08984375" style="244" customWidth="1"/>
    <col min="13571" max="13571" width="18.08984375" style="244" bestFit="1" customWidth="1"/>
    <col min="13572" max="13573" width="14.08984375" style="244" customWidth="1"/>
    <col min="13574" max="13574" width="10.6328125" style="244" customWidth="1"/>
    <col min="13575" max="13575" width="11.81640625" style="244" customWidth="1"/>
    <col min="13576" max="13576" width="15.36328125" style="244" bestFit="1" customWidth="1"/>
    <col min="13577" max="13577" width="1.08984375" style="244" customWidth="1"/>
    <col min="13578" max="13578" width="7.81640625" style="244" customWidth="1"/>
    <col min="13579" max="13579" width="6.6328125" style="244" customWidth="1"/>
    <col min="13580" max="13580" width="11.453125" style="244" bestFit="1" customWidth="1"/>
    <col min="13581" max="13581" width="3.08984375" style="244" customWidth="1"/>
    <col min="13582" max="13582" width="6.81640625" style="244" bestFit="1" customWidth="1"/>
    <col min="13583" max="13583" width="10.36328125" style="244" bestFit="1" customWidth="1"/>
    <col min="13584" max="13824" width="8" style="244"/>
    <col min="13825" max="13825" width="18.81640625" style="244" customWidth="1"/>
    <col min="13826" max="13826" width="10.08984375" style="244" customWidth="1"/>
    <col min="13827" max="13827" width="18.08984375" style="244" bestFit="1" customWidth="1"/>
    <col min="13828" max="13829" width="14.08984375" style="244" customWidth="1"/>
    <col min="13830" max="13830" width="10.6328125" style="244" customWidth="1"/>
    <col min="13831" max="13831" width="11.81640625" style="244" customWidth="1"/>
    <col min="13832" max="13832" width="15.36328125" style="244" bestFit="1" customWidth="1"/>
    <col min="13833" max="13833" width="1.08984375" style="244" customWidth="1"/>
    <col min="13834" max="13834" width="7.81640625" style="244" customWidth="1"/>
    <col min="13835" max="13835" width="6.6328125" style="244" customWidth="1"/>
    <col min="13836" max="13836" width="11.453125" style="244" bestFit="1" customWidth="1"/>
    <col min="13837" max="13837" width="3.08984375" style="244" customWidth="1"/>
    <col min="13838" max="13838" width="6.81640625" style="244" bestFit="1" customWidth="1"/>
    <col min="13839" max="13839" width="10.36328125" style="244" bestFit="1" customWidth="1"/>
    <col min="13840" max="14080" width="8" style="244"/>
    <col min="14081" max="14081" width="18.81640625" style="244" customWidth="1"/>
    <col min="14082" max="14082" width="10.08984375" style="244" customWidth="1"/>
    <col min="14083" max="14083" width="18.08984375" style="244" bestFit="1" customWidth="1"/>
    <col min="14084" max="14085" width="14.08984375" style="244" customWidth="1"/>
    <col min="14086" max="14086" width="10.6328125" style="244" customWidth="1"/>
    <col min="14087" max="14087" width="11.81640625" style="244" customWidth="1"/>
    <col min="14088" max="14088" width="15.36328125" style="244" bestFit="1" customWidth="1"/>
    <col min="14089" max="14089" width="1.08984375" style="244" customWidth="1"/>
    <col min="14090" max="14090" width="7.81640625" style="244" customWidth="1"/>
    <col min="14091" max="14091" width="6.6328125" style="244" customWidth="1"/>
    <col min="14092" max="14092" width="11.453125" style="244" bestFit="1" customWidth="1"/>
    <col min="14093" max="14093" width="3.08984375" style="244" customWidth="1"/>
    <col min="14094" max="14094" width="6.81640625" style="244" bestFit="1" customWidth="1"/>
    <col min="14095" max="14095" width="10.36328125" style="244" bestFit="1" customWidth="1"/>
    <col min="14096" max="14336" width="8" style="244"/>
    <col min="14337" max="14337" width="18.81640625" style="244" customWidth="1"/>
    <col min="14338" max="14338" width="10.08984375" style="244" customWidth="1"/>
    <col min="14339" max="14339" width="18.08984375" style="244" bestFit="1" customWidth="1"/>
    <col min="14340" max="14341" width="14.08984375" style="244" customWidth="1"/>
    <col min="14342" max="14342" width="10.6328125" style="244" customWidth="1"/>
    <col min="14343" max="14343" width="11.81640625" style="244" customWidth="1"/>
    <col min="14344" max="14344" width="15.36328125" style="244" bestFit="1" customWidth="1"/>
    <col min="14345" max="14345" width="1.08984375" style="244" customWidth="1"/>
    <col min="14346" max="14346" width="7.81640625" style="244" customWidth="1"/>
    <col min="14347" max="14347" width="6.6328125" style="244" customWidth="1"/>
    <col min="14348" max="14348" width="11.453125" style="244" bestFit="1" customWidth="1"/>
    <col min="14349" max="14349" width="3.08984375" style="244" customWidth="1"/>
    <col min="14350" max="14350" width="6.81640625" style="244" bestFit="1" customWidth="1"/>
    <col min="14351" max="14351" width="10.36328125" style="244" bestFit="1" customWidth="1"/>
    <col min="14352" max="14592" width="8" style="244"/>
    <col min="14593" max="14593" width="18.81640625" style="244" customWidth="1"/>
    <col min="14594" max="14594" width="10.08984375" style="244" customWidth="1"/>
    <col min="14595" max="14595" width="18.08984375" style="244" bestFit="1" customWidth="1"/>
    <col min="14596" max="14597" width="14.08984375" style="244" customWidth="1"/>
    <col min="14598" max="14598" width="10.6328125" style="244" customWidth="1"/>
    <col min="14599" max="14599" width="11.81640625" style="244" customWidth="1"/>
    <col min="14600" max="14600" width="15.36328125" style="244" bestFit="1" customWidth="1"/>
    <col min="14601" max="14601" width="1.08984375" style="244" customWidth="1"/>
    <col min="14602" max="14602" width="7.81640625" style="244" customWidth="1"/>
    <col min="14603" max="14603" width="6.6328125" style="244" customWidth="1"/>
    <col min="14604" max="14604" width="11.453125" style="244" bestFit="1" customWidth="1"/>
    <col min="14605" max="14605" width="3.08984375" style="244" customWidth="1"/>
    <col min="14606" max="14606" width="6.81640625" style="244" bestFit="1" customWidth="1"/>
    <col min="14607" max="14607" width="10.36328125" style="244" bestFit="1" customWidth="1"/>
    <col min="14608" max="14848" width="8" style="244"/>
    <col min="14849" max="14849" width="18.81640625" style="244" customWidth="1"/>
    <col min="14850" max="14850" width="10.08984375" style="244" customWidth="1"/>
    <col min="14851" max="14851" width="18.08984375" style="244" bestFit="1" customWidth="1"/>
    <col min="14852" max="14853" width="14.08984375" style="244" customWidth="1"/>
    <col min="14854" max="14854" width="10.6328125" style="244" customWidth="1"/>
    <col min="14855" max="14855" width="11.81640625" style="244" customWidth="1"/>
    <col min="14856" max="14856" width="15.36328125" style="244" bestFit="1" customWidth="1"/>
    <col min="14857" max="14857" width="1.08984375" style="244" customWidth="1"/>
    <col min="14858" max="14858" width="7.81640625" style="244" customWidth="1"/>
    <col min="14859" max="14859" width="6.6328125" style="244" customWidth="1"/>
    <col min="14860" max="14860" width="11.453125" style="244" bestFit="1" customWidth="1"/>
    <col min="14861" max="14861" width="3.08984375" style="244" customWidth="1"/>
    <col min="14862" max="14862" width="6.81640625" style="244" bestFit="1" customWidth="1"/>
    <col min="14863" max="14863" width="10.36328125" style="244" bestFit="1" customWidth="1"/>
    <col min="14864" max="15104" width="8" style="244"/>
    <col min="15105" max="15105" width="18.81640625" style="244" customWidth="1"/>
    <col min="15106" max="15106" width="10.08984375" style="244" customWidth="1"/>
    <col min="15107" max="15107" width="18.08984375" style="244" bestFit="1" customWidth="1"/>
    <col min="15108" max="15109" width="14.08984375" style="244" customWidth="1"/>
    <col min="15110" max="15110" width="10.6328125" style="244" customWidth="1"/>
    <col min="15111" max="15111" width="11.81640625" style="244" customWidth="1"/>
    <col min="15112" max="15112" width="15.36328125" style="244" bestFit="1" customWidth="1"/>
    <col min="15113" max="15113" width="1.08984375" style="244" customWidth="1"/>
    <col min="15114" max="15114" width="7.81640625" style="244" customWidth="1"/>
    <col min="15115" max="15115" width="6.6328125" style="244" customWidth="1"/>
    <col min="15116" max="15116" width="11.453125" style="244" bestFit="1" customWidth="1"/>
    <col min="15117" max="15117" width="3.08984375" style="244" customWidth="1"/>
    <col min="15118" max="15118" width="6.81640625" style="244" bestFit="1" customWidth="1"/>
    <col min="15119" max="15119" width="10.36328125" style="244" bestFit="1" customWidth="1"/>
    <col min="15120" max="15360" width="8" style="244"/>
    <col min="15361" max="15361" width="18.81640625" style="244" customWidth="1"/>
    <col min="15362" max="15362" width="10.08984375" style="244" customWidth="1"/>
    <col min="15363" max="15363" width="18.08984375" style="244" bestFit="1" customWidth="1"/>
    <col min="15364" max="15365" width="14.08984375" style="244" customWidth="1"/>
    <col min="15366" max="15366" width="10.6328125" style="244" customWidth="1"/>
    <col min="15367" max="15367" width="11.81640625" style="244" customWidth="1"/>
    <col min="15368" max="15368" width="15.36328125" style="244" bestFit="1" customWidth="1"/>
    <col min="15369" max="15369" width="1.08984375" style="244" customWidth="1"/>
    <col min="15370" max="15370" width="7.81640625" style="244" customWidth="1"/>
    <col min="15371" max="15371" width="6.6328125" style="244" customWidth="1"/>
    <col min="15372" max="15372" width="11.453125" style="244" bestFit="1" customWidth="1"/>
    <col min="15373" max="15373" width="3.08984375" style="244" customWidth="1"/>
    <col min="15374" max="15374" width="6.81640625" style="244" bestFit="1" customWidth="1"/>
    <col min="15375" max="15375" width="10.36328125" style="244" bestFit="1" customWidth="1"/>
    <col min="15376" max="15616" width="8" style="244"/>
    <col min="15617" max="15617" width="18.81640625" style="244" customWidth="1"/>
    <col min="15618" max="15618" width="10.08984375" style="244" customWidth="1"/>
    <col min="15619" max="15619" width="18.08984375" style="244" bestFit="1" customWidth="1"/>
    <col min="15620" max="15621" width="14.08984375" style="244" customWidth="1"/>
    <col min="15622" max="15622" width="10.6328125" style="244" customWidth="1"/>
    <col min="15623" max="15623" width="11.81640625" style="244" customWidth="1"/>
    <col min="15624" max="15624" width="15.36328125" style="244" bestFit="1" customWidth="1"/>
    <col min="15625" max="15625" width="1.08984375" style="244" customWidth="1"/>
    <col min="15626" max="15626" width="7.81640625" style="244" customWidth="1"/>
    <col min="15627" max="15627" width="6.6328125" style="244" customWidth="1"/>
    <col min="15628" max="15628" width="11.453125" style="244" bestFit="1" customWidth="1"/>
    <col min="15629" max="15629" width="3.08984375" style="244" customWidth="1"/>
    <col min="15630" max="15630" width="6.81640625" style="244" bestFit="1" customWidth="1"/>
    <col min="15631" max="15631" width="10.36328125" style="244" bestFit="1" customWidth="1"/>
    <col min="15632" max="15872" width="8" style="244"/>
    <col min="15873" max="15873" width="18.81640625" style="244" customWidth="1"/>
    <col min="15874" max="15874" width="10.08984375" style="244" customWidth="1"/>
    <col min="15875" max="15875" width="18.08984375" style="244" bestFit="1" customWidth="1"/>
    <col min="15876" max="15877" width="14.08984375" style="244" customWidth="1"/>
    <col min="15878" max="15878" width="10.6328125" style="244" customWidth="1"/>
    <col min="15879" max="15879" width="11.81640625" style="244" customWidth="1"/>
    <col min="15880" max="15880" width="15.36328125" style="244" bestFit="1" customWidth="1"/>
    <col min="15881" max="15881" width="1.08984375" style="244" customWidth="1"/>
    <col min="15882" max="15882" width="7.81640625" style="244" customWidth="1"/>
    <col min="15883" max="15883" width="6.6328125" style="244" customWidth="1"/>
    <col min="15884" max="15884" width="11.453125" style="244" bestFit="1" customWidth="1"/>
    <col min="15885" max="15885" width="3.08984375" style="244" customWidth="1"/>
    <col min="15886" max="15886" width="6.81640625" style="244" bestFit="1" customWidth="1"/>
    <col min="15887" max="15887" width="10.36328125" style="244" bestFit="1" customWidth="1"/>
    <col min="15888" max="16128" width="8" style="244"/>
    <col min="16129" max="16129" width="18.81640625" style="244" customWidth="1"/>
    <col min="16130" max="16130" width="10.08984375" style="244" customWidth="1"/>
    <col min="16131" max="16131" width="18.08984375" style="244" bestFit="1" customWidth="1"/>
    <col min="16132" max="16133" width="14.08984375" style="244" customWidth="1"/>
    <col min="16134" max="16134" width="10.6328125" style="244" customWidth="1"/>
    <col min="16135" max="16135" width="11.81640625" style="244" customWidth="1"/>
    <col min="16136" max="16136" width="15.36328125" style="244" bestFit="1" customWidth="1"/>
    <col min="16137" max="16137" width="1.08984375" style="244" customWidth="1"/>
    <col min="16138" max="16138" width="7.81640625" style="244" customWidth="1"/>
    <col min="16139" max="16139" width="6.6328125" style="244" customWidth="1"/>
    <col min="16140" max="16140" width="11.453125" style="244" bestFit="1" customWidth="1"/>
    <col min="16141" max="16141" width="3.08984375" style="244" customWidth="1"/>
    <col min="16142" max="16142" width="6.81640625" style="244" bestFit="1" customWidth="1"/>
    <col min="16143" max="16143" width="10.36328125" style="244" bestFit="1" customWidth="1"/>
    <col min="16144" max="16384" width="8" style="244"/>
  </cols>
  <sheetData>
    <row r="1" spans="1:14" s="1" customFormat="1" ht="14.75" customHeight="1">
      <c r="A1" s="255" t="s">
        <v>0</v>
      </c>
      <c r="B1" s="255"/>
      <c r="C1" s="255"/>
      <c r="D1" s="255"/>
      <c r="E1" s="255"/>
      <c r="F1" s="255"/>
      <c r="G1" s="255"/>
      <c r="H1" s="255"/>
    </row>
    <row r="2" spans="1:14" s="1" customFormat="1" ht="14.75" customHeight="1">
      <c r="A2" s="2"/>
      <c r="B2" s="2"/>
      <c r="C2" s="2"/>
      <c r="D2" s="2"/>
      <c r="E2" s="2"/>
      <c r="F2" s="2"/>
      <c r="G2" s="2"/>
      <c r="H2" s="3"/>
    </row>
    <row r="3" spans="1:14" s="1" customFormat="1" ht="14.75" customHeight="1">
      <c r="A3" s="4" t="s">
        <v>1</v>
      </c>
      <c r="B3" s="5"/>
      <c r="C3" s="5" t="s">
        <v>2</v>
      </c>
      <c r="D3" s="5"/>
      <c r="G3" s="6"/>
      <c r="H3" s="7"/>
      <c r="I3" s="8" t="b">
        <v>0</v>
      </c>
    </row>
    <row r="4" spans="1:14" s="1" customFormat="1" ht="14.75" customHeight="1">
      <c r="A4" s="9"/>
      <c r="B4" s="10"/>
      <c r="C4" s="11"/>
      <c r="D4" s="10"/>
      <c r="E4" s="10"/>
      <c r="F4" s="10"/>
      <c r="G4" s="12"/>
      <c r="H4" s="13" t="s">
        <v>3</v>
      </c>
    </row>
    <row r="5" spans="1:14" s="1" customFormat="1" ht="14.75" customHeight="1">
      <c r="A5" s="14" t="s">
        <v>4</v>
      </c>
      <c r="B5" s="256"/>
      <c r="C5" s="257"/>
      <c r="E5" s="2" t="s">
        <v>5</v>
      </c>
      <c r="F5" s="2"/>
      <c r="G5" s="15"/>
      <c r="H5" s="16"/>
    </row>
    <row r="6" spans="1:14" s="1" customFormat="1" ht="14.75" customHeight="1">
      <c r="A6" s="17" t="s">
        <v>6</v>
      </c>
      <c r="B6" s="258"/>
      <c r="C6" s="258"/>
      <c r="H6" s="7" t="s">
        <v>7</v>
      </c>
    </row>
    <row r="7" spans="1:14" s="1" customFormat="1" ht="14.75" customHeight="1">
      <c r="A7" s="18" t="s">
        <v>8</v>
      </c>
      <c r="B7" s="259"/>
      <c r="C7" s="259"/>
      <c r="E7" s="19" t="s">
        <v>9</v>
      </c>
      <c r="F7" s="19"/>
      <c r="G7" s="20"/>
      <c r="H7" s="21"/>
    </row>
    <row r="8" spans="1:14" s="1" customFormat="1" ht="14.75" customHeight="1">
      <c r="A8" s="18" t="s">
        <v>10</v>
      </c>
      <c r="B8" s="260"/>
      <c r="C8" s="260"/>
      <c r="E8" s="22" t="s">
        <v>11</v>
      </c>
      <c r="F8" s="22"/>
      <c r="G8" s="23"/>
      <c r="H8" s="24"/>
    </row>
    <row r="9" spans="1:14" s="1" customFormat="1" ht="14.75" customHeight="1">
      <c r="A9" s="18" t="s">
        <v>12</v>
      </c>
      <c r="B9" s="260"/>
      <c r="C9" s="260"/>
      <c r="E9" s="249" t="s">
        <v>13</v>
      </c>
      <c r="F9" s="249"/>
      <c r="G9" s="25"/>
      <c r="H9" s="26"/>
      <c r="L9" s="27"/>
      <c r="M9" s="27"/>
      <c r="N9" s="27"/>
    </row>
    <row r="10" spans="1:14" s="1" customFormat="1" ht="14.75" customHeight="1">
      <c r="A10" s="28"/>
      <c r="B10" s="251"/>
      <c r="C10" s="252"/>
      <c r="E10" s="253" t="s">
        <v>14</v>
      </c>
      <c r="F10" s="253"/>
      <c r="G10" s="29"/>
      <c r="H10" s="30"/>
      <c r="L10" s="27"/>
      <c r="M10" s="27"/>
      <c r="N10" s="27"/>
    </row>
    <row r="11" spans="1:14" s="1" customFormat="1" ht="14.75" customHeight="1">
      <c r="A11" s="18" t="s">
        <v>15</v>
      </c>
      <c r="B11" s="31"/>
      <c r="E11" s="32" t="s">
        <v>16</v>
      </c>
      <c r="F11" s="32"/>
      <c r="G11" s="29"/>
      <c r="H11" s="33"/>
      <c r="L11" s="27"/>
      <c r="M11" s="27"/>
      <c r="N11" s="27"/>
    </row>
    <row r="12" spans="1:14" s="1" customFormat="1" ht="14.75" customHeight="1" thickBot="1">
      <c r="A12" s="9"/>
      <c r="H12" s="7"/>
      <c r="L12" s="27"/>
      <c r="M12" s="27"/>
      <c r="N12" s="27"/>
    </row>
    <row r="13" spans="1:14" s="39" customFormat="1" ht="16.5" thickBot="1">
      <c r="A13" s="34" t="s">
        <v>17</v>
      </c>
      <c r="B13" s="35"/>
      <c r="C13" s="36"/>
      <c r="D13" s="36"/>
      <c r="E13" s="37"/>
      <c r="F13" s="37"/>
      <c r="G13" s="37"/>
      <c r="H13" s="38">
        <f>H14+H22+H27+H31</f>
        <v>0</v>
      </c>
      <c r="L13" s="40"/>
    </row>
    <row r="14" spans="1:14" s="47" customFormat="1" ht="14.5">
      <c r="A14" s="41" t="s">
        <v>18</v>
      </c>
      <c r="B14" s="42"/>
      <c r="C14" s="43"/>
      <c r="D14" s="44"/>
      <c r="E14" s="45"/>
      <c r="F14" s="45"/>
      <c r="G14" s="45"/>
      <c r="H14" s="46"/>
      <c r="J14" s="47" t="s">
        <v>19</v>
      </c>
      <c r="L14" s="48"/>
    </row>
    <row r="15" spans="1:14" s="56" customFormat="1" ht="16">
      <c r="A15" s="49"/>
      <c r="B15" s="50" t="s">
        <v>20</v>
      </c>
      <c r="C15" s="51"/>
      <c r="D15" s="52" t="s">
        <v>21</v>
      </c>
      <c r="E15" s="53" t="s">
        <v>22</v>
      </c>
      <c r="F15" s="54"/>
      <c r="G15" s="54"/>
      <c r="H15" s="55" t="s">
        <v>23</v>
      </c>
    </row>
    <row r="16" spans="1:14" s="64" customFormat="1" ht="16">
      <c r="A16" s="57"/>
      <c r="B16" s="58"/>
      <c r="C16" s="59"/>
      <c r="D16" s="60"/>
      <c r="E16" s="61"/>
      <c r="F16" s="62"/>
      <c r="G16" s="62"/>
      <c r="H16" s="63"/>
    </row>
    <row r="17" spans="1:10" s="64" customFormat="1" ht="16">
      <c r="A17" s="57"/>
      <c r="B17" s="58"/>
      <c r="C17" s="59"/>
      <c r="D17" s="60"/>
      <c r="E17" s="61"/>
      <c r="F17" s="62"/>
      <c r="G17" s="62"/>
      <c r="H17" s="63"/>
    </row>
    <row r="18" spans="1:10" s="64" customFormat="1" ht="16">
      <c r="A18" s="57"/>
      <c r="B18" s="58"/>
      <c r="C18" s="59"/>
      <c r="D18" s="60"/>
      <c r="E18" s="61"/>
      <c r="F18" s="62"/>
      <c r="G18" s="62"/>
      <c r="H18" s="63"/>
    </row>
    <row r="19" spans="1:10" s="64" customFormat="1" ht="16">
      <c r="A19" s="57"/>
      <c r="B19" s="58"/>
      <c r="C19" s="59"/>
      <c r="D19" s="60"/>
      <c r="E19" s="61"/>
      <c r="F19" s="65"/>
      <c r="G19" s="65" t="s">
        <v>24</v>
      </c>
      <c r="H19" s="63">
        <f>SUM(H16:H18)</f>
        <v>0</v>
      </c>
    </row>
    <row r="20" spans="1:10" s="64" customFormat="1" ht="16">
      <c r="A20" s="57"/>
      <c r="B20" s="58"/>
      <c r="C20" s="59"/>
      <c r="D20" s="60"/>
      <c r="E20" s="61"/>
      <c r="F20" s="62"/>
      <c r="G20" s="62"/>
    </row>
    <row r="21" spans="1:10" s="64" customFormat="1" ht="16">
      <c r="A21" s="57"/>
      <c r="B21" s="66"/>
      <c r="C21" s="59"/>
      <c r="D21" s="60"/>
      <c r="E21" s="67"/>
      <c r="F21" s="67"/>
      <c r="G21" s="67"/>
      <c r="H21" s="68"/>
    </row>
    <row r="22" spans="1:10" s="47" customFormat="1" ht="14.5">
      <c r="A22" s="41" t="s">
        <v>83</v>
      </c>
      <c r="B22" s="69"/>
      <c r="C22" s="69"/>
      <c r="D22" s="42"/>
      <c r="E22" s="45"/>
      <c r="F22" s="70"/>
      <c r="G22" s="69"/>
      <c r="H22" s="71">
        <f>H25</f>
        <v>0</v>
      </c>
      <c r="J22" s="47" t="s">
        <v>25</v>
      </c>
    </row>
    <row r="23" spans="1:10" s="39" customFormat="1" ht="14.5">
      <c r="A23" s="72"/>
      <c r="B23" s="73"/>
      <c r="C23" s="74"/>
      <c r="D23" s="75"/>
      <c r="E23" s="76"/>
      <c r="F23" s="77"/>
      <c r="G23" s="74"/>
      <c r="H23" s="78"/>
    </row>
    <row r="24" spans="1:10" s="39" customFormat="1" ht="14.5">
      <c r="A24" s="72"/>
      <c r="B24" s="73"/>
      <c r="C24" s="74"/>
      <c r="D24" s="75"/>
      <c r="E24" s="76"/>
      <c r="F24" s="77"/>
      <c r="G24" s="74"/>
      <c r="H24" s="78"/>
    </row>
    <row r="25" spans="1:10" s="39" customFormat="1" ht="14.5">
      <c r="A25" s="72"/>
      <c r="B25" s="73"/>
      <c r="C25" s="74"/>
      <c r="D25" s="79">
        <f>SUM(D23:D23)</f>
        <v>0</v>
      </c>
      <c r="E25" s="80"/>
      <c r="F25" s="77"/>
      <c r="G25" s="81" t="s">
        <v>26</v>
      </c>
      <c r="H25" s="82">
        <f>SUM(H23:H24)</f>
        <v>0</v>
      </c>
    </row>
    <row r="26" spans="1:10" s="39" customFormat="1" ht="14.5">
      <c r="A26" s="72"/>
      <c r="B26" s="74"/>
      <c r="C26" s="74"/>
      <c r="E26" s="80"/>
      <c r="F26" s="77"/>
      <c r="G26" s="74"/>
      <c r="H26" s="83"/>
    </row>
    <row r="27" spans="1:10" s="89" customFormat="1" ht="14.5">
      <c r="A27" s="41" t="s">
        <v>27</v>
      </c>
      <c r="B27" s="84"/>
      <c r="C27" s="85"/>
      <c r="D27" s="86"/>
      <c r="E27" s="87"/>
      <c r="F27" s="88"/>
      <c r="G27" s="85"/>
      <c r="H27" s="71"/>
      <c r="J27" s="47" t="s">
        <v>28</v>
      </c>
    </row>
    <row r="28" spans="1:10" s="39" customFormat="1" ht="14.5">
      <c r="A28" s="72"/>
      <c r="B28" s="73"/>
      <c r="C28" s="74"/>
      <c r="D28" s="75"/>
      <c r="E28" s="76"/>
      <c r="F28" s="77"/>
      <c r="G28" s="74"/>
      <c r="H28" s="78">
        <f>$H$27*D28</f>
        <v>0</v>
      </c>
    </row>
    <row r="29" spans="1:10" s="39" customFormat="1" ht="14.5">
      <c r="A29" s="72"/>
      <c r="B29" s="74"/>
      <c r="C29" s="74"/>
      <c r="D29" s="75">
        <f>SUM(D28:D28)</f>
        <v>0</v>
      </c>
      <c r="E29" s="80"/>
      <c r="F29" s="77"/>
      <c r="G29" s="81" t="s">
        <v>29</v>
      </c>
      <c r="H29" s="82">
        <f>SUM(H28:H28)</f>
        <v>0</v>
      </c>
    </row>
    <row r="30" spans="1:10" s="39" customFormat="1" ht="14.5">
      <c r="A30" s="72"/>
      <c r="B30" s="74"/>
      <c r="C30" s="74"/>
      <c r="D30" s="75"/>
      <c r="E30" s="80"/>
      <c r="F30" s="77"/>
      <c r="G30" s="90"/>
      <c r="H30" s="82"/>
    </row>
    <row r="31" spans="1:10" s="39" customFormat="1" ht="14.5">
      <c r="A31" s="41" t="s">
        <v>30</v>
      </c>
      <c r="B31" s="91"/>
      <c r="C31" s="92"/>
      <c r="D31" s="92"/>
      <c r="E31" s="93"/>
      <c r="F31" s="94"/>
      <c r="G31" s="95"/>
      <c r="H31" s="71"/>
      <c r="J31" s="47" t="s">
        <v>87</v>
      </c>
    </row>
    <row r="32" spans="1:10" s="39" customFormat="1" ht="14.5">
      <c r="A32" s="96"/>
      <c r="B32" s="97"/>
      <c r="C32" s="97"/>
      <c r="E32" s="97"/>
      <c r="F32" s="98"/>
      <c r="G32" s="74"/>
      <c r="H32" s="78"/>
    </row>
    <row r="33" spans="1:12" s="39" customFormat="1" ht="15" thickBot="1">
      <c r="A33" s="96"/>
      <c r="B33" s="97"/>
      <c r="C33" s="99"/>
      <c r="E33" s="97"/>
      <c r="F33" s="97"/>
      <c r="G33" s="81" t="s">
        <v>31</v>
      </c>
      <c r="H33" s="82">
        <f>SUM(H32:H32)</f>
        <v>0</v>
      </c>
    </row>
    <row r="34" spans="1:12" s="39" customFormat="1" ht="15" thickBot="1">
      <c r="A34" s="100" t="s">
        <v>32</v>
      </c>
      <c r="B34" s="101"/>
      <c r="C34" s="102"/>
      <c r="D34" s="103"/>
      <c r="E34" s="104"/>
      <c r="F34" s="103"/>
      <c r="G34" s="103"/>
      <c r="H34" s="105">
        <f>H60+H64+H74+H83+H95+H105+H110</f>
        <v>0</v>
      </c>
    </row>
    <row r="35" spans="1:12" s="39" customFormat="1" ht="14.5">
      <c r="A35" s="106" t="s">
        <v>33</v>
      </c>
      <c r="B35" s="107"/>
      <c r="C35" s="108"/>
      <c r="D35" s="109"/>
      <c r="E35" s="110"/>
      <c r="F35" s="111"/>
      <c r="G35" s="112"/>
      <c r="H35" s="113"/>
    </row>
    <row r="36" spans="1:12" s="118" customFormat="1" ht="14.5">
      <c r="A36" s="114" t="s">
        <v>34</v>
      </c>
      <c r="B36" s="115" t="s">
        <v>35</v>
      </c>
      <c r="C36" s="115" t="s">
        <v>36</v>
      </c>
      <c r="D36" s="115" t="s">
        <v>37</v>
      </c>
      <c r="E36" s="115"/>
      <c r="F36" s="115" t="s">
        <v>38</v>
      </c>
      <c r="G36" s="116" t="s">
        <v>39</v>
      </c>
      <c r="H36" s="117"/>
      <c r="K36" s="119"/>
      <c r="L36" s="119"/>
    </row>
    <row r="37" spans="1:12" s="64" customFormat="1" ht="16">
      <c r="A37" s="120"/>
      <c r="B37" s="121"/>
      <c r="C37" s="121"/>
      <c r="D37" s="122"/>
      <c r="F37" s="121"/>
      <c r="G37" s="121">
        <v>1</v>
      </c>
      <c r="H37" s="123">
        <f>D37*F37*G37</f>
        <v>0</v>
      </c>
      <c r="K37" s="124"/>
      <c r="L37" s="124"/>
    </row>
    <row r="38" spans="1:12" s="64" customFormat="1" ht="16">
      <c r="A38" s="120"/>
      <c r="B38" s="121"/>
      <c r="C38" s="121"/>
      <c r="D38" s="122"/>
      <c r="F38" s="121"/>
      <c r="G38" s="121">
        <v>1</v>
      </c>
      <c r="H38" s="123">
        <f>D38*F38*G38</f>
        <v>0</v>
      </c>
      <c r="K38" s="124"/>
      <c r="L38" s="247"/>
    </row>
    <row r="39" spans="1:12" s="64" customFormat="1" ht="16">
      <c r="A39" s="120"/>
      <c r="B39" s="121"/>
      <c r="C39" s="121"/>
      <c r="D39" s="122"/>
      <c r="F39" s="121"/>
      <c r="G39" s="121">
        <v>1</v>
      </c>
      <c r="H39" s="123">
        <f>D39*F39*G39</f>
        <v>0</v>
      </c>
      <c r="K39" s="124"/>
      <c r="L39" s="124"/>
    </row>
    <row r="40" spans="1:12" s="64" customFormat="1" ht="16">
      <c r="A40" s="120"/>
      <c r="B40" s="121"/>
      <c r="C40" s="121"/>
      <c r="D40" s="122"/>
      <c r="F40" s="121"/>
      <c r="G40" s="121">
        <v>1</v>
      </c>
      <c r="H40" s="123">
        <f>D40*F40*G40</f>
        <v>0</v>
      </c>
      <c r="K40" s="124"/>
      <c r="L40" s="124"/>
    </row>
    <row r="41" spans="1:12" s="128" customFormat="1" ht="16">
      <c r="A41" s="125"/>
      <c r="B41" s="121"/>
      <c r="C41" s="126"/>
      <c r="D41" s="122"/>
      <c r="F41" s="121"/>
      <c r="G41" s="121">
        <v>1</v>
      </c>
      <c r="H41" s="129">
        <f>D41*F41*G41</f>
        <v>0</v>
      </c>
      <c r="K41" s="130"/>
      <c r="L41" s="130"/>
    </row>
    <row r="42" spans="1:12" s="128" customFormat="1" ht="16">
      <c r="A42" s="125"/>
      <c r="B42" s="121"/>
      <c r="C42" s="126"/>
      <c r="D42" s="127"/>
      <c r="F42" s="121"/>
      <c r="G42" s="121">
        <v>1</v>
      </c>
      <c r="H42" s="129">
        <f>D42*F42*G42</f>
        <v>0</v>
      </c>
      <c r="K42" s="130"/>
      <c r="L42" s="130"/>
    </row>
    <row r="43" spans="1:12" s="128" customFormat="1" ht="16">
      <c r="A43" s="125"/>
      <c r="B43" s="121"/>
      <c r="C43" s="126"/>
      <c r="D43" s="122"/>
      <c r="F43" s="121"/>
      <c r="G43" s="121">
        <v>1</v>
      </c>
      <c r="H43" s="129">
        <f>D43*F43*G43</f>
        <v>0</v>
      </c>
      <c r="K43" s="130"/>
      <c r="L43" s="130"/>
    </row>
    <row r="44" spans="1:12" s="128" customFormat="1" ht="16">
      <c r="A44" s="125"/>
      <c r="B44" s="121"/>
      <c r="C44" s="126"/>
      <c r="D44" s="127"/>
      <c r="F44" s="126"/>
      <c r="G44" s="121">
        <v>1</v>
      </c>
      <c r="H44" s="129">
        <f>D44*F44*G44</f>
        <v>0</v>
      </c>
      <c r="K44" s="130"/>
      <c r="L44" s="130"/>
    </row>
    <row r="45" spans="1:12" s="128" customFormat="1" ht="16">
      <c r="A45" s="125"/>
      <c r="B45" s="121"/>
      <c r="C45" s="126"/>
      <c r="D45" s="127"/>
      <c r="F45" s="126"/>
      <c r="G45" s="121">
        <v>1</v>
      </c>
      <c r="H45" s="129">
        <f>D45*F45*G45</f>
        <v>0</v>
      </c>
      <c r="K45" s="130"/>
      <c r="L45" s="130"/>
    </row>
    <row r="46" spans="1:12" s="128" customFormat="1" ht="16">
      <c r="A46" s="125"/>
      <c r="B46" s="121"/>
      <c r="C46" s="126"/>
      <c r="D46" s="127"/>
      <c r="F46" s="126"/>
      <c r="G46" s="121">
        <v>1</v>
      </c>
      <c r="H46" s="129">
        <f>D46*F46*G46</f>
        <v>0</v>
      </c>
      <c r="K46" s="130"/>
      <c r="L46" s="130"/>
    </row>
    <row r="47" spans="1:12" s="128" customFormat="1" ht="16">
      <c r="A47" s="125"/>
      <c r="B47" s="121"/>
      <c r="C47" s="126"/>
      <c r="D47" s="248"/>
      <c r="F47" s="126"/>
      <c r="G47" s="121">
        <v>1</v>
      </c>
      <c r="H47" s="129">
        <f>D47*F47*G47</f>
        <v>0</v>
      </c>
      <c r="K47" s="130"/>
      <c r="L47" s="130"/>
    </row>
    <row r="48" spans="1:12" s="128" customFormat="1" ht="16">
      <c r="A48" s="125"/>
      <c r="B48" s="121"/>
      <c r="C48" s="126"/>
      <c r="D48" s="127"/>
      <c r="F48" s="126"/>
      <c r="G48" s="121">
        <v>1</v>
      </c>
      <c r="H48" s="129">
        <f>D48*F48*G48</f>
        <v>0</v>
      </c>
      <c r="K48" s="130"/>
      <c r="L48" s="130"/>
    </row>
    <row r="49" spans="1:13" s="128" customFormat="1" ht="16">
      <c r="A49" s="125"/>
      <c r="B49" s="121"/>
      <c r="C49" s="131"/>
      <c r="D49" s="127"/>
      <c r="F49" s="126"/>
      <c r="G49" s="121">
        <v>1</v>
      </c>
      <c r="H49" s="129">
        <f>D49*F49*G49</f>
        <v>0</v>
      </c>
      <c r="K49" s="130"/>
      <c r="L49" s="130"/>
    </row>
    <row r="50" spans="1:13" s="138" customFormat="1" ht="15.5">
      <c r="A50" s="132"/>
      <c r="B50" s="133"/>
      <c r="C50" s="133"/>
      <c r="D50" s="134"/>
      <c r="E50" s="135" t="s">
        <v>40</v>
      </c>
      <c r="F50" s="136">
        <f>SUM(F37:F49)</f>
        <v>0</v>
      </c>
      <c r="G50" s="136"/>
      <c r="H50" s="137">
        <f>SUM(H37:H49)</f>
        <v>0</v>
      </c>
      <c r="K50" s="139"/>
      <c r="L50" s="139"/>
    </row>
    <row r="51" spans="1:13" s="128" customFormat="1" ht="16">
      <c r="A51" s="125"/>
      <c r="B51" s="126"/>
      <c r="C51" s="126"/>
      <c r="D51" s="127"/>
      <c r="F51" s="126"/>
      <c r="G51" s="126">
        <v>1</v>
      </c>
      <c r="H51" s="129">
        <f>D51*F51*G51</f>
        <v>0</v>
      </c>
      <c r="K51" s="130"/>
      <c r="L51" s="130"/>
    </row>
    <row r="52" spans="1:13" s="128" customFormat="1" ht="16">
      <c r="A52" s="125"/>
      <c r="B52" s="126"/>
      <c r="C52" s="126"/>
      <c r="D52" s="127"/>
      <c r="F52" s="126"/>
      <c r="G52" s="126">
        <v>1</v>
      </c>
      <c r="H52" s="129">
        <f>D52*F52*G52</f>
        <v>0</v>
      </c>
      <c r="K52" s="130"/>
      <c r="L52" s="130"/>
    </row>
    <row r="53" spans="1:13" s="128" customFormat="1" ht="16">
      <c r="A53" s="125"/>
      <c r="B53" s="126"/>
      <c r="C53" s="126"/>
      <c r="D53" s="127"/>
      <c r="F53" s="126"/>
      <c r="G53" s="126">
        <v>1</v>
      </c>
      <c r="H53" s="129">
        <f>D53*F53*G53</f>
        <v>0</v>
      </c>
      <c r="K53" s="130"/>
      <c r="L53" s="130"/>
    </row>
    <row r="54" spans="1:13" s="64" customFormat="1" ht="16">
      <c r="A54" s="120"/>
      <c r="B54" s="121"/>
      <c r="C54" s="121"/>
      <c r="D54" s="122"/>
      <c r="F54" s="121"/>
      <c r="G54" s="121">
        <v>1</v>
      </c>
      <c r="H54" s="123">
        <f>D54*F54*G54</f>
        <v>0</v>
      </c>
      <c r="K54" s="124"/>
      <c r="L54" s="124"/>
    </row>
    <row r="55" spans="1:13" s="64" customFormat="1" ht="16">
      <c r="A55" s="120"/>
      <c r="B55" s="140"/>
      <c r="C55" s="121"/>
      <c r="D55" s="122"/>
      <c r="F55" s="121"/>
      <c r="G55" s="121">
        <v>1</v>
      </c>
      <c r="H55" s="123">
        <f>D55*F55*G55</f>
        <v>0</v>
      </c>
      <c r="K55" s="124"/>
      <c r="L55" s="124"/>
    </row>
    <row r="56" spans="1:13" s="64" customFormat="1" ht="16">
      <c r="A56" s="120"/>
      <c r="B56" s="121"/>
      <c r="C56" s="121"/>
      <c r="D56" s="122"/>
      <c r="F56" s="121"/>
      <c r="G56" s="121">
        <v>1</v>
      </c>
      <c r="H56" s="123">
        <f>D56*F56*G56</f>
        <v>0</v>
      </c>
      <c r="K56" s="124"/>
      <c r="L56" s="124"/>
    </row>
    <row r="57" spans="1:13" s="64" customFormat="1" ht="16">
      <c r="A57" s="120"/>
      <c r="B57" s="121"/>
      <c r="C57" s="121"/>
      <c r="D57" s="122"/>
      <c r="F57" s="121"/>
      <c r="G57" s="121">
        <v>1</v>
      </c>
      <c r="H57" s="123">
        <f>D57*F57*G57</f>
        <v>0</v>
      </c>
      <c r="K57" s="124"/>
      <c r="L57" s="124"/>
    </row>
    <row r="58" spans="1:13" s="39" customFormat="1" ht="15.5">
      <c r="A58" s="132"/>
      <c r="B58" s="133"/>
      <c r="C58" s="133"/>
      <c r="D58" s="134"/>
      <c r="E58" s="135" t="s">
        <v>41</v>
      </c>
      <c r="F58" s="136">
        <f>SUM(F51:F57)</f>
        <v>0</v>
      </c>
      <c r="G58" s="136"/>
      <c r="H58" s="137">
        <f>SUM(H51:H57)</f>
        <v>0</v>
      </c>
      <c r="K58" s="118"/>
      <c r="L58" s="118"/>
      <c r="M58" s="118"/>
    </row>
    <row r="59" spans="1:13" s="39" customFormat="1" ht="14.5">
      <c r="A59" s="141"/>
      <c r="B59" s="118"/>
      <c r="C59" s="118"/>
      <c r="D59" s="74"/>
      <c r="G59" s="142"/>
      <c r="H59" s="143"/>
      <c r="L59" s="118"/>
    </row>
    <row r="60" spans="1:13" s="39" customFormat="1" ht="16">
      <c r="A60" s="141"/>
      <c r="B60" s="118"/>
      <c r="C60" s="118"/>
      <c r="D60" s="74"/>
      <c r="F60" s="144">
        <f>F50+F58</f>
        <v>0</v>
      </c>
      <c r="G60" s="145" t="s">
        <v>42</v>
      </c>
      <c r="H60" s="146">
        <f>H50+H58</f>
        <v>0</v>
      </c>
      <c r="J60" s="147"/>
      <c r="L60" s="118"/>
      <c r="M60" s="118"/>
    </row>
    <row r="61" spans="1:13" s="39" customFormat="1" ht="16">
      <c r="A61" s="148"/>
      <c r="B61" s="118"/>
      <c r="C61" s="118"/>
      <c r="D61" s="74"/>
      <c r="F61" s="144"/>
      <c r="G61" s="145"/>
      <c r="H61" s="146"/>
      <c r="J61" s="147"/>
      <c r="L61" s="118"/>
      <c r="M61" s="118"/>
    </row>
    <row r="62" spans="1:13" s="64" customFormat="1" ht="16">
      <c r="A62" s="149"/>
      <c r="B62" s="150"/>
      <c r="C62" s="151"/>
      <c r="D62" s="152"/>
      <c r="E62" s="153"/>
      <c r="F62" s="153"/>
      <c r="G62" s="154"/>
      <c r="H62" s="155"/>
    </row>
    <row r="63" spans="1:13" s="64" customFormat="1" ht="16">
      <c r="A63" s="149"/>
      <c r="B63" s="150"/>
      <c r="C63" s="151"/>
      <c r="D63" s="152"/>
      <c r="E63" s="153"/>
      <c r="F63" s="153"/>
      <c r="G63" s="154"/>
      <c r="H63" s="155"/>
    </row>
    <row r="64" spans="1:13" s="39" customFormat="1" ht="14.5">
      <c r="A64" s="141"/>
      <c r="B64" s="118"/>
      <c r="C64" s="118"/>
      <c r="D64" s="74"/>
      <c r="F64" s="156"/>
      <c r="G64" s="145" t="s">
        <v>43</v>
      </c>
      <c r="H64" s="157">
        <f>SUM(H61:H63)</f>
        <v>0</v>
      </c>
      <c r="J64" s="147"/>
      <c r="L64" s="118"/>
      <c r="M64" s="118"/>
    </row>
    <row r="65" spans="1:13" s="1" customFormat="1" ht="14.5">
      <c r="A65" s="158"/>
      <c r="B65" s="159"/>
      <c r="C65" s="159"/>
      <c r="D65" s="160"/>
      <c r="F65" s="161"/>
      <c r="H65" s="162"/>
      <c r="J65" s="163"/>
      <c r="K65" s="11"/>
      <c r="L65" s="159"/>
      <c r="M65" s="159"/>
    </row>
    <row r="66" spans="1:13" s="1" customFormat="1" ht="14.5">
      <c r="A66" s="164" t="s">
        <v>84</v>
      </c>
      <c r="B66" s="165"/>
      <c r="C66" s="166"/>
      <c r="D66" s="165"/>
      <c r="E66" s="166"/>
      <c r="F66" s="166"/>
      <c r="G66" s="166"/>
      <c r="H66" s="167"/>
      <c r="J66" s="168"/>
    </row>
    <row r="67" spans="1:13" s="170" customFormat="1" ht="14.5">
      <c r="A67" s="169" t="s">
        <v>44</v>
      </c>
      <c r="C67" s="170" t="s">
        <v>45</v>
      </c>
      <c r="D67" s="170" t="s">
        <v>46</v>
      </c>
      <c r="F67" s="170" t="s">
        <v>47</v>
      </c>
      <c r="G67" s="170" t="s">
        <v>48</v>
      </c>
      <c r="H67" s="171"/>
    </row>
    <row r="68" spans="1:13" s="170" customFormat="1" ht="14.5">
      <c r="A68" s="172"/>
      <c r="B68" s="10"/>
      <c r="C68" s="10"/>
      <c r="D68" s="10"/>
      <c r="E68" s="10"/>
      <c r="F68" s="10"/>
      <c r="G68" s="264"/>
      <c r="H68" s="173">
        <f>F68*G68</f>
        <v>0</v>
      </c>
    </row>
    <row r="69" spans="1:13" s="170" customFormat="1" ht="14.5">
      <c r="A69" s="172"/>
      <c r="B69" s="10"/>
      <c r="C69" s="10"/>
      <c r="D69" s="10"/>
      <c r="E69" s="10"/>
      <c r="F69" s="10"/>
      <c r="G69" s="264"/>
      <c r="H69" s="173">
        <f>F69*G69</f>
        <v>0</v>
      </c>
    </row>
    <row r="70" spans="1:13" s="170" customFormat="1" ht="14.5">
      <c r="A70" s="172"/>
      <c r="B70" s="10"/>
      <c r="C70" s="10"/>
      <c r="D70" s="10"/>
      <c r="E70" s="10"/>
      <c r="F70" s="10"/>
      <c r="G70" s="264"/>
      <c r="H70" s="173">
        <f>F70*G70</f>
        <v>0</v>
      </c>
    </row>
    <row r="71" spans="1:13" s="170" customFormat="1" ht="14.5">
      <c r="A71" s="172"/>
      <c r="B71" s="10"/>
      <c r="C71" s="10"/>
      <c r="D71" s="10"/>
      <c r="E71" s="10"/>
      <c r="F71" s="10"/>
      <c r="G71" s="264"/>
      <c r="H71" s="173">
        <f>F71*G71</f>
        <v>0</v>
      </c>
    </row>
    <row r="72" spans="1:13" s="170" customFormat="1" ht="14.5">
      <c r="A72" s="172"/>
      <c r="B72" s="10"/>
      <c r="C72" s="10"/>
      <c r="D72" s="10"/>
      <c r="E72" s="10"/>
      <c r="F72" s="10"/>
      <c r="G72" s="264"/>
      <c r="H72" s="173">
        <f>F72*G72</f>
        <v>0</v>
      </c>
    </row>
    <row r="73" spans="1:13" s="170" customFormat="1" ht="14.5">
      <c r="A73" s="172"/>
      <c r="B73" s="10"/>
      <c r="C73" s="10"/>
      <c r="D73" s="10"/>
      <c r="E73" s="10"/>
      <c r="F73" s="10"/>
      <c r="G73" s="264"/>
      <c r="H73" s="173">
        <f>F73*G73</f>
        <v>0</v>
      </c>
    </row>
    <row r="74" spans="1:13" s="1" customFormat="1" ht="14.5">
      <c r="A74" s="174"/>
      <c r="B74" s="159"/>
      <c r="D74" s="160"/>
      <c r="F74" s="161"/>
      <c r="G74" s="175" t="s">
        <v>43</v>
      </c>
      <c r="H74" s="176">
        <f>SUM(H68:H73)</f>
        <v>0</v>
      </c>
    </row>
    <row r="75" spans="1:13" s="1" customFormat="1" ht="14.5">
      <c r="A75" s="164" t="s">
        <v>49</v>
      </c>
      <c r="B75" s="165"/>
      <c r="C75" s="166"/>
      <c r="D75" s="165"/>
      <c r="E75" s="166"/>
      <c r="F75" s="166"/>
      <c r="G75" s="166"/>
      <c r="H75" s="167"/>
    </row>
    <row r="76" spans="1:13" s="170" customFormat="1" ht="14.5">
      <c r="A76" s="169" t="s">
        <v>44</v>
      </c>
      <c r="C76" s="170" t="s">
        <v>45</v>
      </c>
      <c r="D76" s="170" t="s">
        <v>46</v>
      </c>
      <c r="F76" s="170" t="s">
        <v>47</v>
      </c>
      <c r="G76" s="170" t="s">
        <v>48</v>
      </c>
      <c r="H76" s="171"/>
    </row>
    <row r="77" spans="1:13" s="1" customFormat="1" ht="14.5">
      <c r="A77" s="174"/>
      <c r="B77" s="177"/>
      <c r="C77" s="159"/>
      <c r="D77" s="11"/>
      <c r="F77" s="159"/>
      <c r="G77" s="178"/>
      <c r="H77" s="162">
        <f>F77*G77</f>
        <v>0</v>
      </c>
    </row>
    <row r="78" spans="1:13" s="1" customFormat="1" ht="14.5">
      <c r="A78" s="174"/>
      <c r="B78" s="177"/>
      <c r="C78" s="159"/>
      <c r="D78" s="11"/>
      <c r="F78" s="159"/>
      <c r="G78" s="178"/>
      <c r="H78" s="162">
        <f>F78*G78</f>
        <v>0</v>
      </c>
    </row>
    <row r="79" spans="1:13" s="1" customFormat="1" ht="14.5">
      <c r="A79" s="174"/>
      <c r="B79" s="177"/>
      <c r="C79" s="159"/>
      <c r="D79" s="11"/>
      <c r="F79" s="159"/>
      <c r="G79" s="178"/>
      <c r="H79" s="162">
        <f>F79*G79</f>
        <v>0</v>
      </c>
    </row>
    <row r="80" spans="1:13" s="1" customFormat="1" ht="14.5">
      <c r="A80" s="174"/>
      <c r="B80" s="177"/>
      <c r="C80" s="159"/>
      <c r="D80" s="11"/>
      <c r="F80" s="159"/>
      <c r="G80" s="178"/>
      <c r="H80" s="162">
        <f>F80*G80</f>
        <v>0</v>
      </c>
    </row>
    <row r="81" spans="1:8" s="1" customFormat="1" ht="14.5">
      <c r="A81" s="174"/>
      <c r="B81" s="177"/>
      <c r="C81" s="159"/>
      <c r="D81" s="11"/>
      <c r="F81" s="159"/>
      <c r="G81" s="178"/>
      <c r="H81" s="162">
        <f>F81*G81</f>
        <v>0</v>
      </c>
    </row>
    <row r="82" spans="1:8" s="1" customFormat="1" ht="14.5">
      <c r="A82" s="174"/>
      <c r="B82" s="177"/>
      <c r="C82" s="159"/>
      <c r="D82" s="11"/>
      <c r="F82" s="159"/>
      <c r="G82" s="178"/>
      <c r="H82" s="162">
        <f>F82*G82</f>
        <v>0</v>
      </c>
    </row>
    <row r="83" spans="1:8" s="1" customFormat="1" ht="14.5">
      <c r="A83" s="174"/>
      <c r="B83" s="159"/>
      <c r="D83" s="160"/>
      <c r="F83" s="161"/>
      <c r="G83" s="175" t="s">
        <v>50</v>
      </c>
      <c r="H83" s="176">
        <f>SUM(H77:H82)</f>
        <v>0</v>
      </c>
    </row>
    <row r="84" spans="1:8" s="1" customFormat="1" ht="14.5">
      <c r="A84" s="174"/>
      <c r="B84" s="159"/>
      <c r="D84" s="160"/>
      <c r="H84" s="162"/>
    </row>
    <row r="85" spans="1:8" s="1" customFormat="1" ht="14.5">
      <c r="A85" s="179" t="s">
        <v>51</v>
      </c>
      <c r="B85" s="180"/>
      <c r="C85" s="180"/>
      <c r="D85" s="181"/>
      <c r="E85" s="182"/>
      <c r="F85" s="182"/>
      <c r="G85" s="182"/>
      <c r="H85" s="183"/>
    </row>
    <row r="86" spans="1:8" s="1" customFormat="1" ht="14.5">
      <c r="A86" s="169" t="s">
        <v>44</v>
      </c>
      <c r="B86" s="159"/>
      <c r="C86" s="170"/>
      <c r="D86" s="170" t="s">
        <v>46</v>
      </c>
      <c r="F86" s="170" t="s">
        <v>47</v>
      </c>
      <c r="G86" s="170" t="s">
        <v>48</v>
      </c>
      <c r="H86" s="162"/>
    </row>
    <row r="87" spans="1:8" s="186" customFormat="1" ht="15.5">
      <c r="A87" s="184"/>
      <c r="B87" s="185"/>
      <c r="D87" s="187"/>
      <c r="E87" s="246"/>
      <c r="F87" s="265"/>
      <c r="G87" s="246"/>
      <c r="H87" s="188">
        <f>F87*G87</f>
        <v>0</v>
      </c>
    </row>
    <row r="88" spans="1:8" s="186" customFormat="1" ht="15.5">
      <c r="A88" s="263"/>
      <c r="B88" s="189"/>
      <c r="C88" s="245"/>
      <c r="D88" s="187"/>
      <c r="E88" s="190"/>
      <c r="F88" s="265"/>
      <c r="G88" s="246"/>
      <c r="H88" s="188">
        <f>F88*G88</f>
        <v>0</v>
      </c>
    </row>
    <row r="89" spans="1:8" s="186" customFormat="1" ht="15.5">
      <c r="A89" s="263"/>
      <c r="B89" s="189"/>
      <c r="C89" s="245"/>
      <c r="D89" s="187"/>
      <c r="E89" s="190"/>
      <c r="F89" s="265"/>
      <c r="G89" s="246"/>
      <c r="H89" s="188">
        <f>F89*G89</f>
        <v>0</v>
      </c>
    </row>
    <row r="90" spans="1:8" s="186" customFormat="1" ht="15.5">
      <c r="A90" s="263"/>
      <c r="B90" s="189"/>
      <c r="C90" s="245"/>
      <c r="D90" s="187"/>
      <c r="E90" s="190"/>
      <c r="F90" s="265"/>
      <c r="G90" s="246"/>
      <c r="H90" s="188">
        <f>F90*G90</f>
        <v>0</v>
      </c>
    </row>
    <row r="91" spans="1:8" s="186" customFormat="1" ht="15.5">
      <c r="A91" s="191"/>
      <c r="B91" s="192"/>
      <c r="D91" s="193"/>
      <c r="E91" s="246"/>
      <c r="F91" s="265"/>
      <c r="G91" s="246"/>
      <c r="H91" s="188">
        <f>F91*G91</f>
        <v>0</v>
      </c>
    </row>
    <row r="92" spans="1:8" s="186" customFormat="1" ht="15.5">
      <c r="A92" s="191"/>
      <c r="B92" s="192"/>
      <c r="C92" s="194"/>
      <c r="D92" s="193"/>
      <c r="E92" s="246"/>
      <c r="F92" s="265"/>
      <c r="G92" s="246"/>
      <c r="H92" s="188">
        <f>F92*G92</f>
        <v>0</v>
      </c>
    </row>
    <row r="93" spans="1:8" s="186" customFormat="1" ht="15.5">
      <c r="A93" s="184"/>
      <c r="B93" s="185"/>
      <c r="E93" s="246"/>
      <c r="F93" s="265"/>
      <c r="G93" s="195"/>
      <c r="H93" s="196">
        <f>F93*G93</f>
        <v>0</v>
      </c>
    </row>
    <row r="94" spans="1:8" s="1" customFormat="1" ht="14.5">
      <c r="A94" s="174"/>
      <c r="B94" s="159"/>
      <c r="D94" s="160"/>
      <c r="F94" s="266"/>
      <c r="G94" s="178"/>
      <c r="H94" s="162">
        <f>F94*G94</f>
        <v>0</v>
      </c>
    </row>
    <row r="95" spans="1:8" s="1" customFormat="1" ht="14.5">
      <c r="A95" s="174"/>
      <c r="B95" s="11"/>
      <c r="C95" s="11"/>
      <c r="D95" s="11"/>
      <c r="E95" s="11"/>
      <c r="F95" s="161"/>
      <c r="G95" s="175" t="s">
        <v>52</v>
      </c>
      <c r="H95" s="176">
        <f>SUM(H87:H94)</f>
        <v>0</v>
      </c>
    </row>
    <row r="96" spans="1:8" s="1" customFormat="1" ht="14.5">
      <c r="A96" s="174"/>
      <c r="B96" s="159"/>
      <c r="D96" s="160"/>
      <c r="H96" s="162"/>
    </row>
    <row r="97" spans="1:8" s="1" customFormat="1" ht="14.5">
      <c r="A97" s="179" t="s">
        <v>53</v>
      </c>
      <c r="B97" s="197"/>
      <c r="C97" s="166"/>
      <c r="D97" s="166"/>
      <c r="E97" s="198"/>
      <c r="F97" s="199"/>
      <c r="G97" s="199"/>
      <c r="H97" s="183"/>
    </row>
    <row r="98" spans="1:8" s="1" customFormat="1" ht="14.5">
      <c r="A98" s="169" t="s">
        <v>44</v>
      </c>
      <c r="B98" s="159"/>
      <c r="C98" s="170"/>
      <c r="D98" s="170" t="s">
        <v>46</v>
      </c>
      <c r="F98" s="170" t="s">
        <v>47</v>
      </c>
      <c r="G98" s="170" t="s">
        <v>48</v>
      </c>
      <c r="H98" s="162"/>
    </row>
    <row r="99" spans="1:8" s="186" customFormat="1" ht="15.5">
      <c r="A99" s="184" t="s">
        <v>54</v>
      </c>
      <c r="B99" s="185"/>
      <c r="E99" s="246"/>
      <c r="F99" s="265"/>
      <c r="G99" s="246"/>
      <c r="H99" s="188">
        <f>F99*G99</f>
        <v>0</v>
      </c>
    </row>
    <row r="100" spans="1:8" s="186" customFormat="1" ht="15.5">
      <c r="A100" s="184" t="s">
        <v>55</v>
      </c>
      <c r="B100" s="185"/>
      <c r="E100" s="246"/>
      <c r="F100" s="200">
        <v>1</v>
      </c>
      <c r="G100" s="246">
        <f>H13*0.001</f>
        <v>0</v>
      </c>
      <c r="H100" s="188">
        <f>F100*G100</f>
        <v>0</v>
      </c>
    </row>
    <row r="101" spans="1:8" s="186" customFormat="1" ht="15.5">
      <c r="A101" s="184"/>
      <c r="B101" s="185"/>
      <c r="E101" s="246"/>
      <c r="F101" s="265"/>
      <c r="G101" s="246"/>
      <c r="H101" s="188">
        <f>F101*G101</f>
        <v>0</v>
      </c>
    </row>
    <row r="102" spans="1:8" s="186" customFormat="1" ht="15.5">
      <c r="A102" s="184"/>
      <c r="B102" s="185"/>
      <c r="E102" s="246"/>
      <c r="F102" s="265"/>
      <c r="G102" s="246"/>
      <c r="H102" s="188">
        <f>F102*G102</f>
        <v>0</v>
      </c>
    </row>
    <row r="103" spans="1:8" s="186" customFormat="1" ht="15.5">
      <c r="A103" s="184"/>
      <c r="B103" s="185"/>
      <c r="E103" s="246"/>
      <c r="F103" s="265"/>
      <c r="G103" s="246"/>
      <c r="H103" s="188">
        <f>F103*G103</f>
        <v>0</v>
      </c>
    </row>
    <row r="104" spans="1:8" s="186" customFormat="1" ht="15.5">
      <c r="A104" s="184"/>
      <c r="B104" s="185"/>
      <c r="E104" s="246"/>
      <c r="F104" s="265"/>
      <c r="G104" s="246"/>
      <c r="H104" s="188">
        <f>F104*G104</f>
        <v>0</v>
      </c>
    </row>
    <row r="105" spans="1:8" s="1" customFormat="1" ht="16">
      <c r="A105" s="174"/>
      <c r="B105" s="11"/>
      <c r="E105" s="178"/>
      <c r="F105" s="161"/>
      <c r="G105" s="175" t="s">
        <v>56</v>
      </c>
      <c r="H105" s="201">
        <f>SUM(H99:H104)</f>
        <v>0</v>
      </c>
    </row>
    <row r="106" spans="1:8" s="1" customFormat="1" ht="6.75" customHeight="1">
      <c r="A106" s="174"/>
      <c r="B106" s="159"/>
      <c r="D106" s="160"/>
      <c r="H106" s="162"/>
    </row>
    <row r="107" spans="1:8" s="1" customFormat="1" ht="14.5">
      <c r="A107" s="202" t="s">
        <v>57</v>
      </c>
      <c r="B107" s="202" t="s">
        <v>85</v>
      </c>
      <c r="C107" s="180"/>
      <c r="D107" s="166"/>
      <c r="E107" s="166"/>
      <c r="F107" s="199"/>
      <c r="G107" s="199"/>
      <c r="H107" s="183"/>
    </row>
    <row r="108" spans="1:8" s="1" customFormat="1" ht="14.5">
      <c r="A108" s="174"/>
      <c r="B108" s="160"/>
      <c r="C108" s="203"/>
      <c r="E108" s="178"/>
      <c r="F108" s="170" t="s">
        <v>58</v>
      </c>
      <c r="G108" s="170" t="s">
        <v>59</v>
      </c>
      <c r="H108" s="204"/>
    </row>
    <row r="109" spans="1:8" s="213" customFormat="1" ht="16">
      <c r="A109" s="205" t="s">
        <v>60</v>
      </c>
      <c r="B109" s="206" t="s">
        <v>61</v>
      </c>
      <c r="C109" s="207"/>
      <c r="D109" s="208"/>
      <c r="E109" s="209"/>
      <c r="F109" s="210">
        <v>0.05</v>
      </c>
      <c r="G109" s="211">
        <f>H60</f>
        <v>0</v>
      </c>
      <c r="H109" s="212">
        <f>F109*G109</f>
        <v>0</v>
      </c>
    </row>
    <row r="110" spans="1:8" s="1" customFormat="1" ht="16">
      <c r="A110" s="174"/>
      <c r="B110" s="214" t="s">
        <v>88</v>
      </c>
      <c r="C110" s="203"/>
      <c r="E110" s="178"/>
      <c r="F110" s="161"/>
      <c r="G110" s="175" t="s">
        <v>62</v>
      </c>
      <c r="H110" s="201">
        <f>SUM(H109)</f>
        <v>0</v>
      </c>
    </row>
    <row r="111" spans="1:8" s="1" customFormat="1" ht="14.5">
      <c r="A111" s="174"/>
      <c r="B111" s="160"/>
      <c r="C111" s="203"/>
      <c r="E111" s="178"/>
      <c r="F111" s="215"/>
      <c r="G111" s="215"/>
      <c r="H111" s="204"/>
    </row>
    <row r="112" spans="1:8" s="1" customFormat="1" ht="16">
      <c r="A112" s="216" t="s">
        <v>63</v>
      </c>
      <c r="B112" s="217"/>
      <c r="C112" s="217"/>
      <c r="D112" s="218"/>
      <c r="E112" s="218"/>
      <c r="F112" s="219"/>
      <c r="G112" s="220"/>
      <c r="H112" s="221">
        <f>H13-H34</f>
        <v>0</v>
      </c>
    </row>
    <row r="113" spans="1:10" s="1" customFormat="1" ht="16">
      <c r="A113" s="216" t="s">
        <v>64</v>
      </c>
      <c r="B113" s="217"/>
      <c r="C113" s="217"/>
      <c r="D113" s="218"/>
      <c r="E113" s="218"/>
      <c r="F113" s="219"/>
      <c r="G113" s="220"/>
      <c r="H113" s="222">
        <f>IF(H13=0,0,H112/H13)</f>
        <v>0</v>
      </c>
    </row>
    <row r="114" spans="1:10" s="1" customFormat="1" ht="14.5"/>
    <row r="115" spans="1:10" s="1" customFormat="1" ht="14.5">
      <c r="A115" s="250" t="s">
        <v>65</v>
      </c>
      <c r="B115" s="223"/>
      <c r="C115" s="224"/>
      <c r="D115" s="223"/>
      <c r="E115" s="250" t="s">
        <v>66</v>
      </c>
      <c r="F115" s="254"/>
      <c r="G115" s="254"/>
      <c r="H115" s="225"/>
    </row>
    <row r="116" spans="1:10" s="1" customFormat="1" ht="14.5">
      <c r="A116" s="223" t="s">
        <v>67</v>
      </c>
      <c r="B116" s="226"/>
      <c r="C116" s="227" t="s">
        <v>68</v>
      </c>
      <c r="D116" s="223"/>
      <c r="E116" s="10" t="s">
        <v>69</v>
      </c>
      <c r="F116" s="227" t="s">
        <v>70</v>
      </c>
      <c r="G116" s="223"/>
      <c r="H116" s="10" t="s">
        <v>68</v>
      </c>
    </row>
    <row r="117" spans="1:10" s="1" customFormat="1" ht="14.5">
      <c r="A117" s="223"/>
      <c r="B117" s="223"/>
      <c r="C117" s="223"/>
      <c r="D117" s="223"/>
      <c r="E117" s="223"/>
      <c r="F117" s="223"/>
      <c r="G117" s="223"/>
      <c r="H117" s="223"/>
    </row>
    <row r="118" spans="1:10" s="1" customFormat="1" ht="14.5">
      <c r="A118" s="250" t="s">
        <v>65</v>
      </c>
      <c r="B118" s="223"/>
      <c r="C118" s="224"/>
      <c r="D118" s="223"/>
      <c r="E118" s="250" t="s">
        <v>66</v>
      </c>
      <c r="F118" s="254"/>
      <c r="G118" s="254"/>
      <c r="H118" s="225"/>
    </row>
    <row r="119" spans="1:10" s="1" customFormat="1" ht="14.5">
      <c r="A119" s="223" t="s">
        <v>86</v>
      </c>
      <c r="B119" s="226"/>
      <c r="C119" s="227" t="s">
        <v>68</v>
      </c>
      <c r="D119" s="223"/>
      <c r="E119" s="227" t="s">
        <v>71</v>
      </c>
      <c r="F119" s="10" t="s">
        <v>72</v>
      </c>
      <c r="G119" s="223"/>
      <c r="H119" s="10" t="s">
        <v>68</v>
      </c>
    </row>
    <row r="120" spans="1:10" s="1" customFormat="1" ht="14.5">
      <c r="A120" s="223"/>
      <c r="B120" s="223"/>
      <c r="C120" s="223"/>
      <c r="D120" s="223"/>
      <c r="E120" s="223"/>
      <c r="F120" s="223"/>
      <c r="G120" s="223"/>
      <c r="H120" s="223"/>
    </row>
    <row r="121" spans="1:10" s="64" customFormat="1" ht="16">
      <c r="A121" s="56"/>
      <c r="B121" s="228" t="s">
        <v>73</v>
      </c>
      <c r="C121" s="228" t="s">
        <v>59</v>
      </c>
      <c r="D121" s="228" t="s">
        <v>74</v>
      </c>
      <c r="E121" s="228" t="s">
        <v>75</v>
      </c>
      <c r="F121" s="228" t="s">
        <v>76</v>
      </c>
      <c r="G121" s="228" t="s">
        <v>77</v>
      </c>
      <c r="H121" s="229" t="s">
        <v>78</v>
      </c>
    </row>
    <row r="122" spans="1:10" s="234" customFormat="1" ht="16">
      <c r="A122" s="230"/>
      <c r="B122" s="231" t="s">
        <v>79</v>
      </c>
      <c r="C122" s="232">
        <f>H14</f>
        <v>0</v>
      </c>
      <c r="D122" s="232">
        <f>H22</f>
        <v>0</v>
      </c>
      <c r="E122" s="232">
        <f>H27</f>
        <v>0</v>
      </c>
      <c r="F122" s="232">
        <f>H31</f>
        <v>0</v>
      </c>
      <c r="G122" s="232">
        <f>SUM(C122:F122)</f>
        <v>0</v>
      </c>
      <c r="H122" s="233">
        <f>G122-H13</f>
        <v>0</v>
      </c>
    </row>
    <row r="123" spans="1:10" s="235" customFormat="1" ht="16">
      <c r="B123" s="236" t="s">
        <v>80</v>
      </c>
      <c r="C123" s="237">
        <f>H60+H64+H95</f>
        <v>0</v>
      </c>
      <c r="D123" s="237">
        <f>H74</f>
        <v>0</v>
      </c>
      <c r="E123" s="237">
        <f>H83</f>
        <v>0</v>
      </c>
      <c r="F123" s="237">
        <f>H110+H105</f>
        <v>0</v>
      </c>
      <c r="G123" s="237">
        <f>SUM(C123:F123)</f>
        <v>0</v>
      </c>
      <c r="H123" s="233"/>
      <c r="I123" s="229"/>
      <c r="J123" s="238"/>
    </row>
    <row r="124" spans="1:10" s="56" customFormat="1" ht="16">
      <c r="B124" s="239" t="s">
        <v>81</v>
      </c>
      <c r="C124" s="240">
        <f>C122-C123</f>
        <v>0</v>
      </c>
      <c r="D124" s="240">
        <f>D122-D123</f>
        <v>0</v>
      </c>
      <c r="E124" s="240">
        <f>E122-E123</f>
        <v>0</v>
      </c>
      <c r="F124" s="240">
        <f>F122-F123</f>
        <v>0</v>
      </c>
      <c r="G124" s="240">
        <f>G122-G123</f>
        <v>0</v>
      </c>
      <c r="H124" s="233"/>
    </row>
    <row r="125" spans="1:10" s="241" customFormat="1" ht="16">
      <c r="B125" s="242" t="s">
        <v>82</v>
      </c>
      <c r="C125" s="243">
        <f>IF(C122=0,0,C124/C122)</f>
        <v>0</v>
      </c>
      <c r="D125" s="261">
        <f>IF(D122=0,0,D124/D122)</f>
        <v>0</v>
      </c>
      <c r="E125" s="261">
        <f>IF(E122=0,0,E124/E122)</f>
        <v>0</v>
      </c>
      <c r="F125" s="262">
        <f>IF(F122=0,0,F124/F122)</f>
        <v>0</v>
      </c>
      <c r="G125" s="243">
        <f>IF(G122=0,0,G124/G122)</f>
        <v>0</v>
      </c>
    </row>
    <row r="126" spans="1:10" s="64" customFormat="1" ht="15.5"/>
  </sheetData>
  <mergeCells count="10">
    <mergeCell ref="B10:C10"/>
    <mergeCell ref="E10:F10"/>
    <mergeCell ref="F115:G115"/>
    <mergeCell ref="F118:G118"/>
    <mergeCell ref="A1:H1"/>
    <mergeCell ref="B5:C5"/>
    <mergeCell ref="B6:C6"/>
    <mergeCell ref="B7:C7"/>
    <mergeCell ref="B8:C8"/>
    <mergeCell ref="B9:C9"/>
  </mergeCells>
  <phoneticPr fontId="3" type="noConversion"/>
  <conditionalFormatting sqref="G5:H5 E16:E20 E23:E24 E28">
    <cfRule type="cellIs" priority="3" stopIfTrue="1" operator="equal">
      <formula>"current date"</formula>
    </cfRule>
  </conditionalFormatting>
  <conditionalFormatting sqref="H23:H24 H26 H28 H32 H109">
    <cfRule type="expression" dxfId="1" priority="1" stopIfTrue="1">
      <formula>AND($I$3,H23&lt;&gt;D23)</formula>
    </cfRule>
    <cfRule type="expression" dxfId="0" priority="2" stopIfTrue="1">
      <formula>$I$3</formula>
    </cfRule>
  </conditionalFormatting>
  <printOptions horizontalCentered="1" verticalCentered="1"/>
  <pageMargins left="0.55118110236220474" right="0.55118110236220474" top="0.19685039370078741" bottom="0.39370078740157483" header="0" footer="0.15748031496062992"/>
  <pageSetup paperSize="9" scale="45" orientation="portrait"/>
  <headerFooter alignWithMargins="0">
    <oddFooter>&amp;L&amp;D&amp;C&amp;F</oddFooter>
  </headerFooter>
  <rowBreaks count="1" manualBreakCount="1">
    <brk id="65" max="7" man="1"/>
  </rowBreaks>
  <drawing r:id="rId2"/>
  <legacyDrawing r:id="rId3"/>
  <controls>
    <mc:AlternateContent xmlns:mc="http://schemas.openxmlformats.org/markup-compatibility/2006">
      <mc:Choice Requires="x14">
        <control shapeId="11266" r:id="rId4" name="OptionButton2">
          <controlPr defaultSize="0" autoLine="0" linkedCell="I3" r:id="rId5">
            <anchor moveWithCells="1">
              <from>
                <xdr:col>4</xdr:col>
                <xdr:colOff>0</xdr:colOff>
                <xdr:row>2</xdr:row>
                <xdr:rowOff>69850</xdr:rowOff>
              </from>
              <to>
                <xdr:col>4</xdr:col>
                <xdr:colOff>203200</xdr:colOff>
                <xdr:row>3</xdr:row>
                <xdr:rowOff>31750</xdr:rowOff>
              </to>
            </anchor>
          </controlPr>
        </control>
      </mc:Choice>
      <mc:Fallback>
        <control shapeId="11266" r:id="rId4" name="OptionButton2"/>
      </mc:Fallback>
    </mc:AlternateContent>
    <mc:AlternateContent xmlns:mc="http://schemas.openxmlformats.org/markup-compatibility/2006">
      <mc:Choice Requires="x14">
        <control shapeId="11265" r:id="rId6" name="OptionButton1">
          <controlPr defaultSize="0" autoLine="0" r:id="rId7">
            <anchor moveWithCells="1">
              <from>
                <xdr:col>1</xdr:col>
                <xdr:colOff>266700</xdr:colOff>
                <xdr:row>2</xdr:row>
                <xdr:rowOff>69850</xdr:rowOff>
              </from>
              <to>
                <xdr:col>1</xdr:col>
                <xdr:colOff>469900</xdr:colOff>
                <xdr:row>3</xdr:row>
                <xdr:rowOff>31750</xdr:rowOff>
              </to>
            </anchor>
          </controlPr>
        </control>
      </mc:Choice>
      <mc:Fallback>
        <control shapeId="11265" r:id="rId6" name="Option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PNL</vt:lpstr>
      <vt:lpstr>PNL!Print_Area</vt:lpstr>
    </vt:vector>
  </TitlesOfParts>
  <Company>ITTS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ITTS</dc:creator>
  <cp:lastModifiedBy>ITTS</cp:lastModifiedBy>
  <cp:lastPrinted>2022-09-05T03:24:52Z</cp:lastPrinted>
  <dcterms:created xsi:type="dcterms:W3CDTF">2019-10-21T07:10:24Z</dcterms:created>
  <dcterms:modified xsi:type="dcterms:W3CDTF">2026-10-07T17:07:27Z</dcterms:modified>
</cp:coreProperties>
</file>