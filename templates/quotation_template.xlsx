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even.lee\AppData\Local\Temp\claude\C--Users-steven-lee\8a32833b-4f13-4438-9fb0-49c896322216\scratchpad\"/>
    </mc:Choice>
  </mc:AlternateContent>
  <xr:revisionPtr revIDLastSave="0" documentId="8_{2827265B-492F-494A-AAF7-51048C8BB94F}" xr6:coauthVersionLast="47" xr6:coauthVersionMax="47" xr10:uidLastSave="{00000000-0000-0000-0000-000000000000}"/>
  <bookViews>
    <workbookView xWindow="-110" yWindow="-110" windowWidth="19420" windowHeight="11500" tabRatio="1000" xr2:uid="{00000000-000D-0000-FFFF-FFFF00000000}"/>
  </bookViews>
  <sheets>
    <sheet name="報價單 " sheetId="83" r:id="rId1"/>
  </sheets>
  <definedNames>
    <definedName name="_xlnm.Print_Area" localSheetId="0">'報價單 '!$A$1:$K$95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<sst xmlns="http://schemas.openxmlformats.org/spreadsheetml/2006/main" count="42" uniqueCount="40">
  <si>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 xml:space="preserve">   </t>
  </si>
  <si>
    <t xml:space="preserve">  </t>
  </si>
  <si>
    <t>Remarks ：</t>
  </si>
  <si>
    <t/>
  </si>
  <si>
    <t>內容</t>
  </si>
  <si>
    <t xml:space="preserve">請簽回以確認訂單  </t>
  </si>
  <si>
    <t>ITTS Corp.</t>
    <phoneticPr fontId="11" type="noConversion"/>
  </si>
  <si>
    <t>Prepared by :</t>
    <phoneticPr fontId="11" type="noConversion"/>
  </si>
  <si>
    <t xml:space="preserve">Customer Confirme by: </t>
    <phoneticPr fontId="11" type="noConversion"/>
  </si>
  <si>
    <t>專案號碼：</t>
    <phoneticPr fontId="10" type="noConversion"/>
  </si>
  <si>
    <t>專案優惠金額(未稅)</t>
    <phoneticPr fontId="10" type="noConversion"/>
  </si>
  <si>
    <t>單位</t>
    <phoneticPr fontId="10" type="noConversion"/>
  </si>
  <si>
    <t>數量</t>
    <phoneticPr fontId="10" type="noConversion"/>
  </si>
  <si>
    <t>項目</t>
    <phoneticPr fontId="12" type="noConversion"/>
  </si>
  <si>
    <t>幣別：TWD</t>
    <phoneticPr fontId="10" type="noConversion"/>
  </si>
  <si>
    <t>稅金5%</t>
    <phoneticPr fontId="10" type="noConversion"/>
  </si>
  <si>
    <t>稅金</t>
    <phoneticPr fontId="10" type="noConversion"/>
  </si>
  <si>
    <t>以下空白</t>
    <phoneticPr fontId="10" type="noConversion"/>
  </si>
  <si>
    <t>定價(未稅)</t>
    <phoneticPr fontId="10" type="noConversion"/>
  </si>
  <si>
    <t>優惠價(未稅)</t>
    <phoneticPr fontId="10" type="noConversion"/>
  </si>
  <si>
    <t>小計(未稅)</t>
    <phoneticPr fontId="10" type="noConversion"/>
  </si>
  <si>
    <t>專案優惠價(未稅)</t>
    <phoneticPr fontId="10" type="noConversion"/>
  </si>
  <si>
    <t>專案優惠價(含稅)</t>
    <phoneticPr fontId="10" type="noConversion"/>
  </si>
  <si>
    <t>1.以上報價為東捷所提供之特惠價，基於誠信原則，本報價單相關條款合約及價格雙方均不得向第三者揭露。</t>
    <phoneticPr fontId="10" type="noConversion"/>
  </si>
  <si>
    <t>專案定價（未稅）</t>
    <phoneticPr fontId="10" type="noConversion"/>
  </si>
  <si>
    <t>Steven Lee</t>
    <phoneticPr fontId="10" type="noConversion"/>
  </si>
  <si>
    <t>3.付款方式：簽約完成後付款總金額 100%，月結30天付款。</t>
    <phoneticPr fontId="10" type="noConversion"/>
  </si>
  <si>
    <t>5.本報價單經簽名回傳視同為正式有效之合約。</t>
    <phoneticPr fontId="10" type="noConversion"/>
  </si>
  <si>
    <t>6.本報價單需加蓋東捷資訊服務(股)公司之"報價專用章"使為有效之正式報價單。</t>
    <phoneticPr fontId="10" type="noConversion"/>
  </si>
  <si>
    <t>2.ABAP客製開發人天，每人天12,000元（未稅）計價</t>
    <phoneticPr fontId="10" type="noConversion"/>
  </si>
  <si>
    <t>表單編號：QU-</t>
    <phoneticPr fontId="10" type="noConversion"/>
  </si>
  <si>
    <r>
      <t xml:space="preserve">電    話： </t>
    </r>
    <r>
      <rPr>
        <sz val="12"/>
        <color theme="1"/>
        <rFont val="Microsoft YaHei"/>
        <family val="2"/>
        <charset val="134"/>
      </rPr>
      <t xml:space="preserve">                         </t>
    </r>
    <r>
      <rPr>
        <sz val="12"/>
        <color theme="1"/>
        <rFont val="微軟正黑體"/>
        <family val="2"/>
        <charset val="136"/>
      </rPr>
      <t>Ext.</t>
    </r>
    <phoneticPr fontId="10" type="noConversion"/>
  </si>
  <si>
    <t>手    機：</t>
    <phoneticPr fontId="10" type="noConversion"/>
  </si>
  <si>
    <t>聯絡人：</t>
    <phoneticPr fontId="10" type="noConversion"/>
  </si>
  <si>
    <t>日    期：</t>
    <phoneticPr fontId="10" type="noConversion"/>
  </si>
  <si>
    <t>公    司：</t>
    <phoneticPr fontId="10" type="noConversion"/>
  </si>
  <si>
    <t>地    址：</t>
    <phoneticPr fontId="10" type="noConversion"/>
  </si>
  <si>
    <t>電    話：</t>
    <phoneticPr fontId="10" type="noConversion"/>
  </si>
  <si>
    <t>專案名稱：</t>
    <phoneticPr fontId="10" type="noConversion"/>
  </si>
  <si>
    <r>
      <t>4.本報價單於XX</t>
    </r>
    <r>
      <rPr>
        <sz val="12"/>
        <color theme="1"/>
        <rFont val="Microsoft YaHei"/>
        <family val="2"/>
        <charset val="134"/>
      </rPr>
      <t>XX</t>
    </r>
    <r>
      <rPr>
        <sz val="12"/>
        <color theme="1"/>
        <rFont val="微軟正黑體"/>
        <family val="2"/>
        <charset val="136"/>
      </rPr>
      <t>年XX月XX日前有效。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</si>
</sst>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8" formatCode="_-&quot;\&quot;* #,##0.00_-;\-&quot;\&quot;* #,##0.00_-;_-&quot;\&quot;* &quot;-&quot;??_-;_-@_-"/>
    <numFmt numFmtId="179" formatCode="&quot;NT$&quot;#,##0"/>
    <numFmt numFmtId="181" formatCode="_-&quot;\&quot;* #,##0_-;\-&quot;\&quot;* #,##0_-;_-&quot;\&quot;* &quot;-&quot;_-;_-@_-"/>
    <numFmt numFmtId="186" formatCode="&quot;$&quot;#,##0.00_);[Red]\(&quot;$&quot;#,##0.00\)"/>
    <numFmt numFmtId="187" formatCode="#,##0_ "/>
    <numFmt numFmtId="188" formatCode="_(&quot;$&quot;* #,##0_);_(&quot;$&quot;* \(#,##0\);_(&quot;$&quot;* &quot;-&quot;??_);_(@_)"/>
    <numFmt numFmtId="189" formatCode="_(&quot;$&quot;* #,##0.00_);_(&quot;$&quot;* \(#,##0.00\);_(&quot;$&quot;* &quot;-&quot;??_);_(@_)"/>
  </numFmts>
  <fonts count="31"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8"/>
      <name val="微軟正黑體"/>
      <family val="2"/>
      <charset val="136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0"/>
      <name val="Times New Roman"/>
      <family val="1"/>
    </font>
    <font>
      <u/>
      <sz val="10"/>
      <color indexed="12"/>
      <name val="Arial"/>
      <family val="2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CFShouSung"/>
      <family val="3"/>
    </font>
    <font>
      <sz val="10"/>
      <name val="Geneva"/>
      <family val="2"/>
    </font>
    <font>
      <sz val="12"/>
      <name val="Times New Roman"/>
      <family val="1"/>
    </font>
    <font>
      <sz val="18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indexed="10"/>
      <name val="Book Antiqua"/>
      <family val="1"/>
    </font>
    <font>
      <b/>
      <sz val="28"/>
      <color theme="1"/>
      <name val="Brush Script MT"/>
      <family val="4"/>
    </font>
    <font>
      <sz val="10"/>
      <name val="Helv"/>
      <family val="2"/>
    </font>
    <font>
      <sz val="12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43" fontId="9" fillId="0" borderId="0" applyFont="0" applyFill="0" applyBorder="0" applyAlignment="0" applyProtection="0"/>
    <xf numFmtId="0" fontId="7" fillId="0" borderId="0"/>
    <xf numFmtId="0" fontId="9" fillId="2" borderId="0"/>
    <xf numFmtId="43" fontId="9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/>
    <xf numFmtId="43" fontId="17" fillId="0" borderId="0" applyFont="0" applyFill="0" applyBorder="0" applyAlignment="0" applyProtection="0">
      <alignment vertical="center"/>
    </xf>
    <xf numFmtId="0" fontId="17" fillId="0" borderId="0"/>
    <xf numFmtId="37" fontId="20" fillId="0" borderId="0"/>
    <xf numFmtId="0" fontId="21" fillId="0" borderId="0"/>
    <xf numFmtId="0" fontId="7" fillId="0" borderId="0"/>
    <xf numFmtId="0" fontId="22" fillId="0" borderId="0"/>
    <xf numFmtId="43" fontId="7" fillId="0" borderId="0" applyFont="0" applyFill="0" applyBorder="0" applyAlignment="0" applyProtection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9" fillId="0" borderId="0"/>
  </cellStyleXfs>
  <cellXfs count="102">
    <xf numFmtId="0" fontId="0" fillId="0" borderId="0" xfId="0"/>
    <xf numFmtId="0" fontId="14" fillId="0" borderId="0" xfId="11" applyFont="1"/>
    <xf numFmtId="0" fontId="15" fillId="0" borderId="0" xfId="11" applyFont="1" applyAlignment="1">
      <alignment horizontal="left"/>
    </xf>
    <xf numFmtId="0" fontId="16" fillId="0" borderId="0" xfId="11" applyFont="1" applyAlignment="1">
      <alignment horizontal="left"/>
    </xf>
    <xf numFmtId="0" fontId="16" fillId="0" borderId="0" xfId="11" applyFont="1" applyAlignment="1">
      <alignment horizontal="center"/>
    </xf>
    <xf numFmtId="1" fontId="16" fillId="0" borderId="0" xfId="11" applyNumberFormat="1" applyFont="1" applyAlignment="1">
      <alignment horizontal="center"/>
    </xf>
    <xf numFmtId="176" fontId="15" fillId="0" borderId="0" xfId="12" applyNumberFormat="1" applyFont="1" applyFill="1" applyAlignment="1"/>
    <xf numFmtId="0" fontId="14" fillId="0" borderId="0" xfId="11" applyFont="1" applyAlignment="1">
      <alignment horizontal="center"/>
    </xf>
    <xf numFmtId="0" fontId="15" fillId="0" borderId="0" xfId="11" applyFont="1"/>
    <xf numFmtId="0" fontId="15" fillId="0" borderId="0" xfId="11" applyFont="1" applyAlignment="1">
      <alignment horizontal="center"/>
    </xf>
    <xf numFmtId="49" fontId="15" fillId="0" borderId="0" xfId="11" applyNumberFormat="1" applyFont="1" applyAlignment="1">
      <alignment horizontal="left" vertical="center"/>
    </xf>
    <xf numFmtId="176" fontId="15" fillId="0" borderId="0" xfId="12" applyNumberFormat="1" applyFont="1" applyFill="1" applyAlignment="1">
      <alignment vertical="center"/>
    </xf>
    <xf numFmtId="0" fontId="14" fillId="0" borderId="0" xfId="11" applyFont="1" applyAlignment="1">
      <alignment horizontal="center" vertical="center"/>
    </xf>
    <xf numFmtId="0" fontId="19" fillId="0" borderId="6" xfId="13" applyFont="1" applyBorder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14" fillId="0" borderId="0" xfId="11" applyFont="1" applyAlignment="1">
      <alignment vertical="center"/>
    </xf>
    <xf numFmtId="0" fontId="15" fillId="3" borderId="0" xfId="3" applyFont="1" applyFill="1" applyAlignment="1">
      <alignment vertical="center"/>
    </xf>
    <xf numFmtId="176" fontId="18" fillId="0" borderId="0" xfId="11" applyNumberFormat="1" applyFont="1" applyAlignment="1">
      <alignment horizontal="center" vertical="center"/>
    </xf>
    <xf numFmtId="30" fontId="15" fillId="0" borderId="0" xfId="11" applyNumberFormat="1" applyFont="1" applyAlignment="1">
      <alignment horizontal="left"/>
    </xf>
    <xf numFmtId="0" fontId="15" fillId="0" borderId="0" xfId="11" applyFont="1" applyAlignment="1">
      <alignment horizontal="right"/>
    </xf>
    <xf numFmtId="9" fontId="15" fillId="0" borderId="0" xfId="11" applyNumberFormat="1" applyFont="1" applyAlignment="1">
      <alignment horizontal="center"/>
    </xf>
    <xf numFmtId="189" fontId="16" fillId="0" borderId="0" xfId="11" applyNumberFormat="1" applyFont="1" applyAlignment="1">
      <alignment horizontal="center"/>
    </xf>
    <xf numFmtId="49" fontId="15" fillId="0" borderId="0" xfId="11" applyNumberFormat="1" applyFont="1" applyAlignment="1">
      <alignment horizontal="left"/>
    </xf>
    <xf numFmtId="49" fontId="14" fillId="0" borderId="0" xfId="11" applyNumberFormat="1" applyFont="1" applyAlignment="1">
      <alignment horizontal="left"/>
    </xf>
    <xf numFmtId="0" fontId="14" fillId="0" borderId="0" xfId="11" applyFont="1" applyAlignment="1">
      <alignment horizontal="left"/>
    </xf>
    <xf numFmtId="0" fontId="14" fillId="0" borderId="0" xfId="11" applyFont="1" applyAlignment="1">
      <alignment horizontal="right"/>
    </xf>
    <xf numFmtId="186" fontId="14" fillId="0" borderId="0" xfId="11" applyNumberFormat="1" applyFont="1" applyAlignment="1">
      <alignment horizontal="center"/>
    </xf>
    <xf numFmtId="0" fontId="14" fillId="0" borderId="0" xfId="2" applyFont="1" applyAlignment="1">
      <alignment horizontal="center"/>
    </xf>
    <xf numFmtId="0" fontId="14" fillId="0" borderId="0" xfId="13" applyFont="1"/>
    <xf numFmtId="0" fontId="14" fillId="0" borderId="0" xfId="2" applyFont="1"/>
    <xf numFmtId="176" fontId="15" fillId="0" borderId="0" xfId="12" applyNumberFormat="1" applyFont="1" applyAlignment="1"/>
    <xf numFmtId="0" fontId="23" fillId="0" borderId="0" xfId="13" applyFont="1"/>
    <xf numFmtId="0" fontId="14" fillId="0" borderId="1" xfId="13" applyFont="1" applyBorder="1"/>
    <xf numFmtId="0" fontId="14" fillId="0" borderId="0" xfId="13" applyFont="1" applyAlignment="1">
      <alignment vertical="center"/>
    </xf>
    <xf numFmtId="176" fontId="14" fillId="0" borderId="0" xfId="12" applyNumberFormat="1" applyFont="1" applyFill="1" applyAlignment="1"/>
    <xf numFmtId="37" fontId="14" fillId="0" borderId="0" xfId="14" applyFont="1"/>
    <xf numFmtId="0" fontId="14" fillId="0" borderId="0" xfId="2" applyFont="1" applyAlignment="1">
      <alignment horizontal="left"/>
    </xf>
    <xf numFmtId="0" fontId="24" fillId="0" borderId="0" xfId="13" applyFont="1"/>
    <xf numFmtId="9" fontId="8" fillId="0" borderId="0" xfId="2" applyNumberFormat="1" applyFont="1" applyAlignment="1">
      <alignment vertical="center"/>
    </xf>
    <xf numFmtId="0" fontId="14" fillId="4" borderId="6" xfId="16" applyFont="1" applyFill="1" applyBorder="1" applyAlignment="1">
      <alignment horizontal="center" vertical="center"/>
    </xf>
    <xf numFmtId="176" fontId="14" fillId="4" borderId="0" xfId="12" applyNumberFormat="1" applyFont="1" applyFill="1" applyBorder="1" applyAlignment="1">
      <alignment vertical="center"/>
    </xf>
    <xf numFmtId="176" fontId="14" fillId="0" borderId="0" xfId="12" applyNumberFormat="1" applyFont="1" applyFill="1" applyAlignment="1">
      <alignment vertical="center"/>
    </xf>
    <xf numFmtId="187" fontId="19" fillId="0" borderId="6" xfId="12" applyNumberFormat="1" applyFont="1" applyFill="1" applyBorder="1" applyAlignment="1">
      <alignment vertical="center"/>
    </xf>
    <xf numFmtId="187" fontId="19" fillId="0" borderId="0" xfId="12" applyNumberFormat="1" applyFont="1" applyFill="1" applyBorder="1" applyAlignment="1">
      <alignment horizontal="right" vertical="center"/>
    </xf>
    <xf numFmtId="0" fontId="14" fillId="0" borderId="4" xfId="11" applyFont="1" applyBorder="1" applyAlignment="1">
      <alignment vertical="center"/>
    </xf>
    <xf numFmtId="0" fontId="14" fillId="0" borderId="0" xfId="11" applyFont="1" applyAlignment="1">
      <alignment horizontal="left" vertical="center"/>
    </xf>
    <xf numFmtId="49" fontId="14" fillId="0" borderId="0" xfId="11" applyNumberFormat="1" applyFont="1" applyAlignment="1">
      <alignment vertical="center"/>
    </xf>
    <xf numFmtId="49" fontId="14" fillId="0" borderId="0" xfId="11" applyNumberFormat="1" applyFont="1" applyAlignment="1">
      <alignment horizontal="left" vertical="center"/>
    </xf>
    <xf numFmtId="0" fontId="19" fillId="0" borderId="0" xfId="11" applyFont="1" applyAlignment="1">
      <alignment vertical="center"/>
    </xf>
    <xf numFmtId="176" fontId="15" fillId="0" borderId="0" xfId="1" applyNumberFormat="1" applyFont="1" applyFill="1" applyAlignment="1"/>
    <xf numFmtId="176" fontId="14" fillId="0" borderId="0" xfId="1" applyNumberFormat="1" applyFont="1" applyFill="1" applyAlignment="1">
      <alignment vertical="center"/>
    </xf>
    <xf numFmtId="176" fontId="27" fillId="0" borderId="0" xfId="1" applyNumberFormat="1" applyFont="1" applyBorder="1" applyAlignment="1" applyProtection="1">
      <alignment horizontal="center"/>
    </xf>
    <xf numFmtId="176" fontId="8" fillId="0" borderId="0" xfId="1" applyNumberFormat="1" applyFont="1" applyFill="1" applyAlignment="1">
      <alignment vertical="center"/>
    </xf>
    <xf numFmtId="176" fontId="15" fillId="0" borderId="0" xfId="1" applyNumberFormat="1" applyFont="1" applyFill="1" applyAlignment="1">
      <alignment vertical="center"/>
    </xf>
    <xf numFmtId="176" fontId="14" fillId="0" borderId="0" xfId="1" applyNumberFormat="1" applyFont="1" applyFill="1" applyAlignment="1"/>
    <xf numFmtId="176" fontId="24" fillId="0" borderId="0" xfId="1" applyNumberFormat="1" applyFont="1"/>
    <xf numFmtId="176" fontId="15" fillId="0" borderId="0" xfId="1" applyNumberFormat="1" applyFont="1" applyAlignment="1"/>
    <xf numFmtId="187" fontId="25" fillId="0" borderId="6" xfId="12" applyNumberFormat="1" applyFont="1" applyFill="1" applyBorder="1" applyAlignment="1">
      <alignment vertical="center"/>
    </xf>
    <xf numFmtId="0" fontId="14" fillId="4" borderId="6" xfId="15" applyFont="1" applyFill="1" applyBorder="1" applyAlignment="1">
      <alignment horizontal="center" vertical="center"/>
    </xf>
    <xf numFmtId="41" fontId="14" fillId="4" borderId="6" xfId="17" applyNumberFormat="1" applyFont="1" applyFill="1" applyBorder="1" applyAlignment="1">
      <alignment vertical="center"/>
    </xf>
    <xf numFmtId="0" fontId="14" fillId="4" borderId="0" xfId="11" applyFont="1" applyFill="1" applyAlignment="1">
      <alignment vertical="center"/>
    </xf>
    <xf numFmtId="176" fontId="14" fillId="4" borderId="0" xfId="1" applyNumberFormat="1" applyFont="1" applyFill="1" applyAlignment="1">
      <alignment vertical="center"/>
    </xf>
    <xf numFmtId="0" fontId="14" fillId="4" borderId="0" xfId="2" applyFont="1" applyFill="1" applyAlignment="1">
      <alignment vertical="center"/>
    </xf>
    <xf numFmtId="49" fontId="14" fillId="4" borderId="6" xfId="14" applyNumberFormat="1" applyFont="1" applyFill="1" applyBorder="1" applyAlignment="1">
      <alignment horizontal="center" vertical="center"/>
    </xf>
    <xf numFmtId="179" fontId="26" fillId="0" borderId="6" xfId="12" applyNumberFormat="1" applyFont="1" applyFill="1" applyBorder="1" applyAlignment="1">
      <alignment vertical="center"/>
    </xf>
    <xf numFmtId="176" fontId="14" fillId="0" borderId="0" xfId="4" applyNumberFormat="1" applyFont="1" applyFill="1" applyAlignment="1">
      <alignment vertical="center"/>
    </xf>
    <xf numFmtId="176" fontId="14" fillId="5" borderId="0" xfId="4" applyNumberFormat="1" applyFont="1" applyFill="1" applyAlignment="1">
      <alignment vertical="center"/>
    </xf>
    <xf numFmtId="186" fontId="26" fillId="0" borderId="0" xfId="11" applyNumberFormat="1" applyFont="1" applyAlignment="1">
      <alignment horizontal="right" vertical="center" wrapText="1"/>
    </xf>
    <xf numFmtId="179" fontId="26" fillId="0" borderId="0" xfId="12" applyNumberFormat="1" applyFont="1" applyFill="1" applyBorder="1" applyAlignment="1">
      <alignment vertical="center"/>
    </xf>
    <xf numFmtId="22" fontId="14" fillId="0" borderId="0" xfId="11" applyNumberFormat="1" applyFont="1" applyAlignment="1">
      <alignment vertical="center"/>
    </xf>
    <xf numFmtId="189" fontId="18" fillId="0" borderId="0" xfId="11" applyNumberFormat="1" applyFont="1" applyAlignment="1">
      <alignment horizontal="center"/>
    </xf>
    <xf numFmtId="188" fontId="19" fillId="0" borderId="0" xfId="11" applyNumberFormat="1" applyFont="1" applyAlignment="1">
      <alignment horizontal="center"/>
    </xf>
    <xf numFmtId="0" fontId="19" fillId="0" borderId="2" xfId="13" applyFont="1" applyBorder="1" applyAlignment="1">
      <alignment horizontal="center" vertical="center"/>
    </xf>
    <xf numFmtId="176" fontId="14" fillId="0" borderId="0" xfId="11" applyNumberFormat="1" applyFont="1" applyAlignment="1">
      <alignment vertical="center"/>
    </xf>
    <xf numFmtId="0" fontId="14" fillId="4" borderId="4" xfId="13" applyFont="1" applyFill="1" applyBorder="1" applyAlignment="1">
      <alignment horizontal="left" vertical="center" wrapText="1"/>
    </xf>
    <xf numFmtId="0" fontId="14" fillId="4" borderId="4" xfId="15" applyFont="1" applyFill="1" applyBorder="1" applyAlignment="1">
      <alignment horizontal="center" vertical="center"/>
    </xf>
    <xf numFmtId="49" fontId="14" fillId="4" borderId="2" xfId="14" applyNumberFormat="1" applyFont="1" applyFill="1" applyBorder="1" applyAlignment="1">
      <alignment horizontal="center" vertical="center"/>
    </xf>
    <xf numFmtId="186" fontId="25" fillId="0" borderId="7" xfId="11" applyNumberFormat="1" applyFont="1" applyBorder="1" applyAlignment="1">
      <alignment horizontal="right" vertical="center" wrapText="1"/>
    </xf>
    <xf numFmtId="49" fontId="30" fillId="4" borderId="6" xfId="14" applyNumberFormat="1" applyFont="1" applyFill="1" applyBorder="1" applyAlignment="1">
      <alignment horizontal="center" vertical="center"/>
    </xf>
    <xf numFmtId="0" fontId="30" fillId="0" borderId="0" xfId="11" applyFont="1"/>
    <xf numFmtId="0" fontId="14" fillId="0" borderId="3" xfId="11" applyFont="1" applyBorder="1" applyAlignment="1">
      <alignment horizontal="left"/>
    </xf>
    <xf numFmtId="0" fontId="19" fillId="0" borderId="2" xfId="13" applyFont="1" applyBorder="1" applyAlignment="1">
      <alignment horizontal="center" vertical="center"/>
    </xf>
    <xf numFmtId="0" fontId="19" fillId="0" borderId="5" xfId="13" applyFont="1" applyBorder="1" applyAlignment="1">
      <alignment horizontal="center" vertical="center"/>
    </xf>
    <xf numFmtId="0" fontId="19" fillId="0" borderId="7" xfId="13" applyFont="1" applyBorder="1" applyAlignment="1">
      <alignment horizontal="center" vertical="center"/>
    </xf>
    <xf numFmtId="176" fontId="19" fillId="0" borderId="0" xfId="11" applyNumberFormat="1" applyFont="1" applyAlignment="1">
      <alignment horizontal="center"/>
    </xf>
    <xf numFmtId="188" fontId="19" fillId="0" borderId="0" xfId="11" applyNumberFormat="1" applyFont="1" applyAlignment="1">
      <alignment horizontal="center"/>
    </xf>
    <xf numFmtId="0" fontId="28" fillId="0" borderId="0" xfId="13" applyFont="1" applyAlignment="1">
      <alignment horizontal="center" vertical="center"/>
    </xf>
    <xf numFmtId="0" fontId="28" fillId="0" borderId="1" xfId="13" applyFont="1" applyBorder="1" applyAlignment="1">
      <alignment horizontal="center" vertical="center"/>
    </xf>
    <xf numFmtId="0" fontId="14" fillId="4" borderId="2" xfId="13" applyFont="1" applyFill="1" applyBorder="1" applyAlignment="1">
      <alignment horizontal="left" vertical="center" wrapText="1"/>
    </xf>
    <xf numFmtId="0" fontId="14" fillId="4" borderId="5" xfId="13" applyFont="1" applyFill="1" applyBorder="1" applyAlignment="1">
      <alignment horizontal="left" vertical="center" wrapText="1"/>
    </xf>
    <xf numFmtId="0" fontId="14" fillId="4" borderId="7" xfId="13" applyFont="1" applyFill="1" applyBorder="1" applyAlignment="1">
      <alignment horizontal="left" vertical="center" wrapText="1"/>
    </xf>
    <xf numFmtId="186" fontId="19" fillId="0" borderId="2" xfId="11" applyNumberFormat="1" applyFont="1" applyBorder="1" applyAlignment="1">
      <alignment horizontal="right" vertical="center" wrapText="1"/>
    </xf>
    <xf numFmtId="186" fontId="19" fillId="0" borderId="5" xfId="11" applyNumberFormat="1" applyFont="1" applyBorder="1" applyAlignment="1">
      <alignment horizontal="right" vertical="center" wrapText="1"/>
    </xf>
    <xf numFmtId="186" fontId="19" fillId="0" borderId="7" xfId="11" applyNumberFormat="1" applyFont="1" applyBorder="1" applyAlignment="1">
      <alignment horizontal="right" vertical="center" wrapText="1"/>
    </xf>
    <xf numFmtId="186" fontId="25" fillId="0" borderId="2" xfId="11" applyNumberFormat="1" applyFont="1" applyBorder="1" applyAlignment="1">
      <alignment horizontal="right" vertical="center" wrapText="1"/>
    </xf>
    <xf numFmtId="186" fontId="25" fillId="0" borderId="7" xfId="11" applyNumberFormat="1" applyFont="1" applyBorder="1" applyAlignment="1">
      <alignment horizontal="right" vertical="center" wrapText="1"/>
    </xf>
    <xf numFmtId="0" fontId="15" fillId="0" borderId="0" xfId="11" applyFont="1" applyAlignment="1">
      <alignment vertical="top" wrapText="1"/>
    </xf>
    <xf numFmtId="189" fontId="18" fillId="0" borderId="0" xfId="11" applyNumberFormat="1" applyFont="1" applyAlignment="1">
      <alignment horizontal="center"/>
    </xf>
    <xf numFmtId="0" fontId="15" fillId="4" borderId="2" xfId="13" applyFont="1" applyFill="1" applyBorder="1" applyAlignment="1">
      <alignment horizontal="left" vertical="center" wrapText="1"/>
    </xf>
    <xf numFmtId="0" fontId="15" fillId="4" borderId="5" xfId="13" applyFont="1" applyFill="1" applyBorder="1" applyAlignment="1">
      <alignment horizontal="left" vertical="center" wrapText="1"/>
    </xf>
    <xf numFmtId="0" fontId="15" fillId="4" borderId="7" xfId="13" applyFont="1" applyFill="1" applyBorder="1" applyAlignment="1">
      <alignment horizontal="left" vertical="center" wrapText="1"/>
    </xf>
    <xf numFmtId="37" fontId="14" fillId="0" borderId="0" xfId="14" applyFont="1" applyAlignment="1">
      <alignment horizontal="left"/>
    </xf>
  </cellXfs>
  <cellStyles count="28">
    <cellStyle name="一般" xfId="0" builtinId="0"/>
    <cellStyle name="一般 2" xfId="9" xr:uid="{00000000-0005-0000-0000-000002000000}"/>
    <cellStyle name="一般 2 2" xfId="13" xr:uid="{00000000-0005-0000-0000-000003000000}"/>
    <cellStyle name="一般 2 2 2" xfId="14" xr:uid="{00000000-0005-0000-0000-000004000000}"/>
    <cellStyle name="一般 3" xfId="19" xr:uid="{00000000-0005-0000-0000-000005000000}"/>
    <cellStyle name="一般 4" xfId="21" xr:uid="{00000000-0005-0000-0000-000006000000}"/>
    <cellStyle name="一般 5" xfId="23" xr:uid="{00000000-0005-0000-0000-000007000000}"/>
    <cellStyle name="一般 6" xfId="25" xr:uid="{00000000-0005-0000-0000-000008000000}"/>
    <cellStyle name="一般_~2392169" xfId="15" xr:uid="{00000000-0005-0000-0000-000009000000}"/>
    <cellStyle name="一般_90 年開立報價單" xfId="3" xr:uid="{00000000-0005-0000-0000-00000A000000}"/>
    <cellStyle name="一般_GIGATEK INC Quotation 020212006-1" xfId="2" xr:uid="{00000000-0005-0000-0000-00000B000000}"/>
    <cellStyle name="一般_GIGATEK INC Quotation 020212006-1_3_License+Consultant Service_HR Quotation(租賃)_威邁思" xfId="11" xr:uid="{00000000-0005-0000-0000-00000C000000}"/>
    <cellStyle name="一般_Z400_Z600報價020910v1" xfId="16" xr:uid="{00000000-0005-0000-0000-00000E000000}"/>
    <cellStyle name="一般_東元中壢VM+BL專案_0818(總報價)" xfId="17" xr:uid="{00000000-0005-0000-0000-00000F000000}"/>
    <cellStyle name="千分位" xfId="1" builtinId="3"/>
    <cellStyle name="千分位 2" xfId="4" xr:uid="{00000000-0005-0000-0000-000012000000}"/>
    <cellStyle name="千分位 2 2" xfId="18" xr:uid="{00000000-0005-0000-0000-000013000000}"/>
    <cellStyle name="千分位 3" xfId="8" xr:uid="{00000000-0005-0000-0000-000014000000}"/>
    <cellStyle name="千分位 3 2" xfId="12" xr:uid="{00000000-0005-0000-0000-000015000000}"/>
    <cellStyle name="千分位 4" xfId="10" xr:uid="{00000000-0005-0000-0000-000016000000}"/>
    <cellStyle name="千分位 5" xfId="20" xr:uid="{00000000-0005-0000-0000-000017000000}"/>
    <cellStyle name="千分位 6" xfId="22" xr:uid="{00000000-0005-0000-0000-000018000000}"/>
    <cellStyle name="千分位 7" xfId="24" xr:uid="{00000000-0005-0000-0000-000019000000}"/>
    <cellStyle name="千分位 8" xfId="26" xr:uid="{00000000-0005-0000-0000-00001A000000}"/>
    <cellStyle name="百分比 2" xfId="6" xr:uid="{00000000-0005-0000-0000-00001D000000}"/>
    <cellStyle name="貨幣 2" xfId="7" xr:uid="{00000000-0005-0000-0000-00001F000000}"/>
    <cellStyle name="超連結_Quotation20061019-亞耕 FI CO BPI" xfId="5" xr:uid="{00000000-0005-0000-0000-000021000000}"/>
    <cellStyle name="樣式 1" xfId="27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75</xdr:row>
      <xdr:rowOff>6350</xdr:rowOff>
    </xdr:from>
    <xdr:to>
      <xdr:col>3</xdr:col>
      <xdr:colOff>361950</xdr:colOff>
      <xdr:row>81</xdr:row>
      <xdr:rowOff>12700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4950" y="9271000"/>
          <a:ext cx="3352800" cy="1238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6351</xdr:colOff>
      <xdr:row>7</xdr:row>
      <xdr:rowOff>12700</xdr:rowOff>
    </xdr:from>
    <xdr:to>
      <xdr:col>10</xdr:col>
      <xdr:colOff>0</xdr:colOff>
      <xdr:row>12</xdr:row>
      <xdr:rowOff>38100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784851" y="1263650"/>
          <a:ext cx="4171949" cy="12255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209177</xdr:colOff>
      <xdr:row>7</xdr:row>
      <xdr:rowOff>35112</xdr:rowOff>
    </xdr:from>
    <xdr:to>
      <xdr:col>4</xdr:col>
      <xdr:colOff>381000</xdr:colOff>
      <xdr:row>12</xdr:row>
      <xdr:rowOff>48372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09177" y="1305112"/>
          <a:ext cx="4148511" cy="121182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2</xdr:col>
      <xdr:colOff>752475</xdr:colOff>
      <xdr:row>1</xdr:row>
      <xdr:rowOff>69850</xdr:rowOff>
    </xdr:from>
    <xdr:ext cx="2595454" cy="830740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444625" y="266700"/>
          <a:ext cx="2595454" cy="830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400" b="1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東捷資訊服務股份有限公司</a:t>
          </a:r>
          <a:endParaRPr lang="zh-TW" altLang="en-US" sz="1400" b="0" i="0" u="none" strike="noStrike" baseline="0">
            <a:solidFill>
              <a:srgbClr val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Microsoft Sans Serif"/>
          </a:endParaRPr>
        </a:p>
        <a:p>
          <a:pPr algn="l" rtl="0">
            <a:defRPr sz="1000"/>
          </a:pPr>
          <a:r>
            <a:rPr lang="zh-TW" altLang="en-US" sz="1100" b="0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台北市南港區三重路</a:t>
          </a:r>
          <a:r>
            <a:rPr lang="en-US" altLang="zh-TW" sz="1100" b="0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Microsoft Sans Serif"/>
            </a:rPr>
            <a:t>19-8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號</a:t>
          </a:r>
          <a:r>
            <a:rPr lang="en-US" altLang="zh-TW" sz="1100" b="0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Microsoft Sans Serif"/>
            </a:rPr>
            <a:t>5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樓</a:t>
          </a:r>
        </a:p>
        <a:p>
          <a:pPr algn="l" rtl="0">
            <a:defRPr sz="1000"/>
          </a:pPr>
          <a:r>
            <a:rPr lang="en-US" altLang="zh-TW" sz="1100" b="0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Microsoft Sans Serif"/>
            </a:rPr>
            <a:t>Tel:(02) 2655-2525  fax: (02) 2655-1010</a:t>
          </a:r>
        </a:p>
      </xdr:txBody>
    </xdr:sp>
    <xdr:clientData/>
  </xdr:oneCellAnchor>
  <xdr:twoCellAnchor>
    <xdr:from>
      <xdr:col>1</xdr:col>
      <xdr:colOff>381000</xdr:colOff>
      <xdr:row>6</xdr:row>
      <xdr:rowOff>47625</xdr:rowOff>
    </xdr:from>
    <xdr:to>
      <xdr:col>2</xdr:col>
      <xdr:colOff>669636</xdr:colOff>
      <xdr:row>7</xdr:row>
      <xdr:rowOff>152400</xdr:rowOff>
    </xdr:to>
    <xdr:sp macro="" textlink="">
      <xdr:nvSpPr>
        <xdr:cNvPr id="7" name="文字 5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603250" y="1101725"/>
          <a:ext cx="758536" cy="3016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zh-TW" altLang="en-US" sz="1200" b="1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客戶資料</a:t>
          </a:r>
        </a:p>
      </xdr:txBody>
    </xdr:sp>
    <xdr:clientData/>
  </xdr:twoCellAnchor>
  <xdr:twoCellAnchor>
    <xdr:from>
      <xdr:col>1</xdr:col>
      <xdr:colOff>234950</xdr:colOff>
      <xdr:row>1</xdr:row>
      <xdr:rowOff>158750</xdr:rowOff>
    </xdr:from>
    <xdr:to>
      <xdr:col>2</xdr:col>
      <xdr:colOff>546100</xdr:colOff>
      <xdr:row>4</xdr:row>
      <xdr:rowOff>63500</xdr:rowOff>
    </xdr:to>
    <xdr:pic>
      <xdr:nvPicPr>
        <xdr:cNvPr id="8" name="Picture 5" descr="ITTS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55600"/>
          <a:ext cx="781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231775</xdr:colOff>
      <xdr:row>1</xdr:row>
      <xdr:rowOff>44451</xdr:rowOff>
    </xdr:from>
    <xdr:to>
      <xdr:col>11</xdr:col>
      <xdr:colOff>111140</xdr:colOff>
      <xdr:row>4</xdr:row>
      <xdr:rowOff>69851</xdr:rowOff>
    </xdr:to>
    <xdr:sp macro="" textlink="">
      <xdr:nvSpPr>
        <xdr:cNvPr id="11" name="文字 3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6010275" y="241301"/>
          <a:ext cx="4279915" cy="539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zh-TW" altLang="en-US" sz="2200" b="1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報價單</a:t>
          </a:r>
          <a:r>
            <a:rPr lang="zh-TW" altLang="en-US" sz="2000" b="0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Microsoft Sans Serif"/>
            </a:rPr>
            <a:t> </a:t>
          </a:r>
        </a:p>
      </xdr:txBody>
    </xdr:sp>
    <xdr:clientData/>
  </xdr:twoCellAnchor>
  <xdr:twoCellAnchor>
    <xdr:from>
      <xdr:col>2</xdr:col>
      <xdr:colOff>20135</xdr:colOff>
      <xdr:row>74</xdr:row>
      <xdr:rowOff>14941</xdr:rowOff>
    </xdr:from>
    <xdr:to>
      <xdr:col>2</xdr:col>
      <xdr:colOff>738585</xdr:colOff>
      <xdr:row>75</xdr:row>
      <xdr:rowOff>104587</xdr:rowOff>
    </xdr:to>
    <xdr:sp macro="" textlink="">
      <xdr:nvSpPr>
        <xdr:cNvPr id="12" name="文字 5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712285" y="9076391"/>
          <a:ext cx="718450" cy="2928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zh-TW" altLang="en-US" sz="1200" b="1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專案資料</a:t>
          </a:r>
        </a:p>
      </xdr:txBody>
    </xdr:sp>
    <xdr:clientData/>
  </xdr:twoCellAnchor>
  <xdr:twoCellAnchor>
    <xdr:from>
      <xdr:col>5</xdr:col>
      <xdr:colOff>388502</xdr:colOff>
      <xdr:row>6</xdr:row>
      <xdr:rowOff>32038</xdr:rowOff>
    </xdr:from>
    <xdr:to>
      <xdr:col>7</xdr:col>
      <xdr:colOff>138544</xdr:colOff>
      <xdr:row>7</xdr:row>
      <xdr:rowOff>136813</xdr:rowOff>
    </xdr:to>
    <xdr:sp macro="" textlink="">
      <xdr:nvSpPr>
        <xdr:cNvPr id="13" name="文字 5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6167002" y="1086138"/>
          <a:ext cx="842242" cy="3016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zh-TW" altLang="en-US" sz="1200" b="1" i="0" u="none" strike="noStrike" baseline="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廠商資料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O95"/>
  <sheetViews>
    <sheetView tabSelected="1" view="pageBreakPreview" topLeftCell="A17" zoomScale="80" zoomScaleNormal="100" zoomScaleSheetLayoutView="80" workbookViewId="0">
      <selection activeCell="A18" sqref="A18:XFD66"/>
    </sheetView>
  </sheetViews>
  <sheetFormatPr defaultColWidth="10.453125" defaultRowHeight="15.5"/>
  <cols>
    <col min="1" max="1" width="3.1796875" style="1" customWidth="1"/>
    <col min="2" max="2" width="6.81640625" style="1" customWidth="1"/>
    <col min="3" max="3" width="36.1796875" style="1" customWidth="1"/>
    <col min="4" max="4" width="10.81640625" style="1" customWidth="1"/>
    <col min="5" max="5" width="27.453125" style="1" customWidth="1"/>
    <col min="6" max="6" width="7.453125" style="1" customWidth="1"/>
    <col min="7" max="7" width="8.1796875" style="7" customWidth="1"/>
    <col min="8" max="9" width="13.81640625" style="7" customWidth="1"/>
    <col min="10" max="10" width="16.81640625" style="7" customWidth="1"/>
    <col min="11" max="11" width="3.1796875" style="7" customWidth="1"/>
    <col min="12" max="13" width="13.453125" style="49" bestFit="1" customWidth="1"/>
    <col min="14" max="14" width="13.453125" style="6" bestFit="1" customWidth="1"/>
    <col min="15" max="15" width="14" style="1" bestFit="1" customWidth="1"/>
    <col min="16" max="16384" width="10.453125" style="1"/>
  </cols>
  <sheetData>
    <row r="2" spans="2:15" ht="13.75" customHeight="1">
      <c r="C2" s="2"/>
      <c r="D2" s="2"/>
      <c r="E2" s="2"/>
      <c r="F2" s="3"/>
      <c r="G2" s="4"/>
      <c r="H2" s="4"/>
      <c r="I2" s="4"/>
      <c r="J2" s="5" t="s">
        <v>3</v>
      </c>
      <c r="K2" s="5"/>
    </row>
    <row r="3" spans="2:15" ht="13.75" customHeight="1">
      <c r="F3" s="3"/>
      <c r="G3" s="4"/>
    </row>
    <row r="4" spans="2:15" ht="13.75" customHeight="1">
      <c r="F4" s="3"/>
      <c r="G4" s="4"/>
      <c r="H4" s="4"/>
      <c r="I4" s="4"/>
    </row>
    <row r="5" spans="2:15" ht="13.75" customHeight="1">
      <c r="F5" s="3"/>
      <c r="G5" s="4"/>
      <c r="H5" s="4"/>
      <c r="I5" s="4"/>
    </row>
    <row r="6" spans="2:15" ht="13.75" customHeight="1">
      <c r="G6" s="48" t="s">
        <v>30</v>
      </c>
    </row>
    <row r="8" spans="2:15" s="8" customFormat="1" ht="14.5">
      <c r="H8" s="9"/>
      <c r="I8" s="9"/>
      <c r="J8" s="9"/>
      <c r="K8" s="9"/>
      <c r="L8" s="49"/>
      <c r="M8" s="49"/>
      <c r="N8" s="6"/>
    </row>
    <row r="9" spans="2:15" s="15" customFormat="1" ht="20.25" customHeight="1">
      <c r="B9" s="45" t="s">
        <v>35</v>
      </c>
      <c r="C9" s="46"/>
      <c r="D9" s="46"/>
      <c r="E9" s="46"/>
      <c r="F9" s="45" t="s">
        <v>34</v>
      </c>
      <c r="G9" s="69"/>
      <c r="H9" s="46"/>
      <c r="I9" s="46"/>
      <c r="J9" s="46"/>
      <c r="K9" s="47"/>
      <c r="L9" s="50"/>
      <c r="M9" s="50"/>
      <c r="N9" s="41"/>
    </row>
    <row r="10" spans="2:15" s="15" customFormat="1" ht="20.25" customHeight="1">
      <c r="B10" s="45" t="s">
        <v>33</v>
      </c>
      <c r="C10" s="47"/>
      <c r="D10" s="47"/>
      <c r="E10" s="47"/>
      <c r="F10" s="45" t="s">
        <v>33</v>
      </c>
      <c r="H10" s="46"/>
      <c r="I10" s="46"/>
      <c r="J10" s="46"/>
      <c r="K10" s="47"/>
      <c r="L10" s="50"/>
      <c r="M10" s="50"/>
      <c r="N10" s="41"/>
    </row>
    <row r="11" spans="2:15" s="15" customFormat="1" ht="20.25" customHeight="1">
      <c r="B11" s="45" t="s">
        <v>36</v>
      </c>
      <c r="C11" s="46"/>
      <c r="D11" s="46"/>
      <c r="E11" s="46"/>
      <c r="F11" s="45" t="s">
        <v>32</v>
      </c>
      <c r="H11" s="46"/>
      <c r="I11" s="46"/>
      <c r="J11" s="46"/>
      <c r="K11" s="47"/>
      <c r="L11" s="50"/>
      <c r="M11" s="50"/>
      <c r="N11" s="41"/>
    </row>
    <row r="12" spans="2:15" s="15" customFormat="1" ht="20.25" customHeight="1">
      <c r="B12" s="45" t="s">
        <v>37</v>
      </c>
      <c r="C12" s="45"/>
      <c r="D12" s="47"/>
      <c r="E12" s="47"/>
      <c r="F12" s="45" t="s">
        <v>31</v>
      </c>
      <c r="H12" s="46"/>
      <c r="I12" s="46"/>
      <c r="J12" s="46"/>
      <c r="K12" s="47"/>
      <c r="L12" s="50"/>
      <c r="M12" s="51"/>
      <c r="N12" s="41"/>
    </row>
    <row r="13" spans="2:15" ht="16.5" customHeight="1">
      <c r="B13" s="10" t="s">
        <v>0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2:15" ht="16.5" customHeight="1">
      <c r="B14" s="10"/>
      <c r="C14" s="10"/>
      <c r="D14" s="10"/>
      <c r="E14" s="10"/>
      <c r="F14" s="10"/>
      <c r="G14" s="10"/>
      <c r="H14" s="10"/>
      <c r="I14" s="10"/>
      <c r="J14" s="10"/>
      <c r="K14" s="10"/>
      <c r="O14" s="79"/>
    </row>
    <row r="15" spans="2:15">
      <c r="B15" s="80"/>
      <c r="C15" s="80"/>
      <c r="J15" s="7" t="s">
        <v>14</v>
      </c>
    </row>
    <row r="16" spans="2:15" s="12" customFormat="1" ht="18.75" customHeight="1">
      <c r="B16" s="72" t="s">
        <v>13</v>
      </c>
      <c r="C16" s="81" t="s">
        <v>4</v>
      </c>
      <c r="D16" s="82"/>
      <c r="E16" s="83"/>
      <c r="F16" s="13" t="s">
        <v>12</v>
      </c>
      <c r="G16" s="13" t="s">
        <v>11</v>
      </c>
      <c r="H16" s="13" t="s">
        <v>18</v>
      </c>
      <c r="I16" s="13" t="s">
        <v>19</v>
      </c>
      <c r="J16" s="13" t="s">
        <v>20</v>
      </c>
      <c r="K16" s="14"/>
      <c r="L16" s="52"/>
      <c r="M16" s="52"/>
      <c r="N16" s="38"/>
    </row>
    <row r="17" spans="2:14" s="60" customFormat="1" ht="21" customHeight="1">
      <c r="B17" s="78"/>
      <c r="C17" s="98"/>
      <c r="D17" s="99"/>
      <c r="E17" s="100"/>
      <c r="F17" s="58"/>
      <c r="G17" s="39"/>
      <c r="H17" s="59"/>
      <c r="I17" s="59"/>
      <c r="J17" s="59"/>
      <c r="K17" s="40"/>
      <c r="L17" s="61"/>
      <c r="M17" s="61"/>
      <c r="N17" s="62"/>
    </row>
    <row r="18" spans="2:14" s="60" customFormat="1" ht="21" customHeight="1">
      <c r="B18" s="78"/>
      <c r="C18" s="98"/>
      <c r="D18" s="99"/>
      <c r="E18" s="100"/>
      <c r="F18" s="58"/>
      <c r="G18" s="39"/>
      <c r="H18" s="59"/>
      <c r="I18" s="59"/>
      <c r="J18" s="59"/>
      <c r="K18" s="40"/>
      <c r="L18" s="61"/>
      <c r="M18" s="61"/>
      <c r="N18" s="62"/>
    </row>
    <row r="19" spans="2:14" s="60" customFormat="1" ht="21" customHeight="1">
      <c r="B19" s="78"/>
      <c r="C19" s="98"/>
      <c r="D19" s="99"/>
      <c r="E19" s="100"/>
      <c r="F19" s="58"/>
      <c r="G19" s="39"/>
      <c r="H19" s="59"/>
      <c r="I19" s="59"/>
      <c r="J19" s="59"/>
      <c r="K19" s="40"/>
      <c r="L19" s="61"/>
      <c r="M19" s="61"/>
      <c r="N19" s="62"/>
    </row>
    <row r="20" spans="2:14" s="60" customFormat="1" ht="21" customHeight="1">
      <c r="B20" s="78"/>
      <c r="C20" s="98"/>
      <c r="D20" s="99"/>
      <c r="E20" s="100"/>
      <c r="F20" s="58"/>
      <c r="G20" s="39"/>
      <c r="H20" s="59"/>
      <c r="I20" s="59"/>
      <c r="J20" s="59"/>
      <c r="K20" s="40"/>
      <c r="L20" s="61"/>
      <c r="M20" s="61"/>
      <c r="N20" s="62"/>
    </row>
    <row r="21" spans="2:14" s="60" customFormat="1" ht="21" customHeight="1">
      <c r="B21" s="78"/>
      <c r="C21" s="98"/>
      <c r="D21" s="99"/>
      <c r="E21" s="100"/>
      <c r="F21" s="58"/>
      <c r="G21" s="39"/>
      <c r="H21" s="59"/>
      <c r="I21" s="59"/>
      <c r="J21" s="59"/>
      <c r="K21" s="40"/>
      <c r="L21" s="61"/>
      <c r="M21" s="61"/>
      <c r="N21" s="62"/>
    </row>
    <row r="22" spans="2:14" s="60" customFormat="1" ht="21" customHeight="1">
      <c r="B22" s="78"/>
      <c r="C22" s="98"/>
      <c r="D22" s="99"/>
      <c r="E22" s="100"/>
      <c r="F22" s="58"/>
      <c r="G22" s="39"/>
      <c r="H22" s="59"/>
      <c r="I22" s="59"/>
      <c r="J22" s="59"/>
      <c r="K22" s="40"/>
      <c r="L22" s="61"/>
      <c r="M22" s="61"/>
      <c r="N22" s="62"/>
    </row>
    <row r="23" spans="2:14" s="60" customFormat="1" ht="21" customHeight="1">
      <c r="B23" s="78"/>
      <c r="C23" s="98"/>
      <c r="D23" s="99"/>
      <c r="E23" s="100"/>
      <c r="F23" s="58"/>
      <c r="G23" s="39"/>
      <c r="H23" s="59"/>
      <c r="I23" s="59"/>
      <c r="J23" s="59"/>
      <c r="K23" s="40"/>
      <c r="L23" s="61"/>
      <c r="M23" s="61"/>
      <c r="N23" s="62"/>
    </row>
    <row r="24" spans="2:14" s="60" customFormat="1" ht="21" customHeight="1">
      <c r="B24" s="78"/>
      <c r="C24" s="98"/>
      <c r="D24" s="99"/>
      <c r="E24" s="100"/>
      <c r="F24" s="58"/>
      <c r="G24" s="39"/>
      <c r="H24" s="59"/>
      <c r="I24" s="59"/>
      <c r="J24" s="59"/>
      <c r="K24" s="40"/>
      <c r="L24" s="61"/>
      <c r="M24" s="61"/>
      <c r="N24" s="62"/>
    </row>
    <row r="25" spans="2:14" s="60" customFormat="1" ht="21" customHeight="1">
      <c r="B25" s="78"/>
      <c r="C25" s="98"/>
      <c r="D25" s="99"/>
      <c r="E25" s="100"/>
      <c r="F25" s="58"/>
      <c r="G25" s="39"/>
      <c r="H25" s="59"/>
      <c r="I25" s="59"/>
      <c r="J25" s="59"/>
      <c r="K25" s="40"/>
      <c r="L25" s="61"/>
      <c r="M25" s="61"/>
      <c r="N25" s="62"/>
    </row>
    <row r="26" spans="2:14" s="60" customFormat="1" ht="21" customHeight="1">
      <c r="B26" s="78"/>
      <c r="C26" s="98"/>
      <c r="D26" s="99"/>
      <c r="E26" s="100"/>
      <c r="F26" s="58"/>
      <c r="G26" s="39"/>
      <c r="H26" s="59"/>
      <c r="I26" s="59"/>
      <c r="J26" s="59"/>
      <c r="K26" s="40"/>
      <c r="L26" s="61"/>
      <c r="M26" s="61"/>
      <c r="N26" s="62"/>
    </row>
    <row r="27" spans="2:14" s="60" customFormat="1" ht="21" customHeight="1">
      <c r="B27" s="78"/>
      <c r="C27" s="98"/>
      <c r="D27" s="99"/>
      <c r="E27" s="100"/>
      <c r="F27" s="58"/>
      <c r="G27" s="39"/>
      <c r="H27" s="59"/>
      <c r="I27" s="59"/>
      <c r="J27" s="59"/>
      <c r="K27" s="40"/>
      <c r="L27" s="61"/>
      <c r="M27" s="61"/>
      <c r="N27" s="62"/>
    </row>
    <row r="28" spans="2:14" s="60" customFormat="1" ht="21" customHeight="1">
      <c r="B28" s="78"/>
      <c r="C28" s="98"/>
      <c r="D28" s="99"/>
      <c r="E28" s="100"/>
      <c r="F28" s="58"/>
      <c r="G28" s="39"/>
      <c r="H28" s="59"/>
      <c r="I28" s="59"/>
      <c r="J28" s="59"/>
      <c r="K28" s="40"/>
      <c r="L28" s="61"/>
      <c r="M28" s="61"/>
      <c r="N28" s="62"/>
    </row>
    <row r="29" spans="2:14" s="60" customFormat="1" ht="21" customHeight="1">
      <c r="B29" s="78"/>
      <c r="C29" s="98"/>
      <c r="D29" s="99"/>
      <c r="E29" s="100"/>
      <c r="F29" s="58"/>
      <c r="G29" s="39"/>
      <c r="H29" s="59"/>
      <c r="I29" s="59"/>
      <c r="J29" s="59"/>
      <c r="K29" s="40"/>
      <c r="L29" s="61"/>
      <c r="M29" s="61"/>
      <c r="N29" s="62"/>
    </row>
    <row r="30" spans="2:14" s="60" customFormat="1" ht="21" customHeight="1">
      <c r="B30" s="78"/>
      <c r="C30" s="98"/>
      <c r="D30" s="99"/>
      <c r="E30" s="100"/>
      <c r="F30" s="58"/>
      <c r="G30" s="39"/>
      <c r="H30" s="59"/>
      <c r="I30" s="59"/>
      <c r="J30" s="59"/>
      <c r="K30" s="40"/>
      <c r="L30" s="61"/>
      <c r="M30" s="61"/>
      <c r="N30" s="62"/>
    </row>
    <row r="31" spans="2:14" s="60" customFormat="1" ht="21" customHeight="1">
      <c r="B31" s="78"/>
      <c r="C31" s="98"/>
      <c r="D31" s="99"/>
      <c r="E31" s="100"/>
      <c r="F31" s="58"/>
      <c r="G31" s="39"/>
      <c r="H31" s="59"/>
      <c r="I31" s="59"/>
      <c r="J31" s="59"/>
      <c r="K31" s="40"/>
      <c r="L31" s="61"/>
      <c r="M31" s="61"/>
      <c r="N31" s="62"/>
    </row>
    <row r="32" spans="2:14" s="60" customFormat="1" ht="21" customHeight="1">
      <c r="B32" s="78"/>
      <c r="C32" s="98"/>
      <c r="D32" s="99"/>
      <c r="E32" s="100"/>
      <c r="F32" s="58"/>
      <c r="G32" s="39"/>
      <c r="H32" s="59"/>
      <c r="I32" s="59"/>
      <c r="J32" s="59"/>
      <c r="K32" s="40"/>
      <c r="L32" s="61"/>
      <c r="M32" s="61"/>
      <c r="N32" s="62"/>
    </row>
    <row r="33" spans="2:14" s="60" customFormat="1" ht="21" customHeight="1">
      <c r="B33" s="78"/>
      <c r="C33" s="98"/>
      <c r="D33" s="99"/>
      <c r="E33" s="100"/>
      <c r="F33" s="58"/>
      <c r="G33" s="39"/>
      <c r="H33" s="59"/>
      <c r="I33" s="59"/>
      <c r="J33" s="59"/>
      <c r="K33" s="40"/>
      <c r="L33" s="61"/>
      <c r="M33" s="61"/>
      <c r="N33" s="62"/>
    </row>
    <row r="34" spans="2:14" s="60" customFormat="1" ht="21" customHeight="1">
      <c r="B34" s="78"/>
      <c r="C34" s="98"/>
      <c r="D34" s="99"/>
      <c r="E34" s="100"/>
      <c r="F34" s="58"/>
      <c r="G34" s="39"/>
      <c r="H34" s="59"/>
      <c r="I34" s="59"/>
      <c r="J34" s="59"/>
      <c r="K34" s="40"/>
      <c r="L34" s="61"/>
      <c r="M34" s="61"/>
      <c r="N34" s="62"/>
    </row>
    <row r="35" spans="2:14" s="60" customFormat="1" ht="21" customHeight="1">
      <c r="B35" s="78"/>
      <c r="C35" s="98"/>
      <c r="D35" s="99"/>
      <c r="E35" s="100"/>
      <c r="F35" s="58"/>
      <c r="G35" s="39"/>
      <c r="H35" s="59"/>
      <c r="I35" s="59"/>
      <c r="J35" s="59"/>
      <c r="K35" s="40"/>
      <c r="L35" s="61"/>
      <c r="M35" s="61"/>
      <c r="N35" s="62"/>
    </row>
    <row r="36" spans="2:14" s="60" customFormat="1" ht="21" customHeight="1">
      <c r="B36" s="78"/>
      <c r="C36" s="98"/>
      <c r="D36" s="99"/>
      <c r="E36" s="100"/>
      <c r="F36" s="58"/>
      <c r="G36" s="39"/>
      <c r="H36" s="59"/>
      <c r="I36" s="59"/>
      <c r="J36" s="59"/>
      <c r="K36" s="40"/>
      <c r="L36" s="61"/>
      <c r="M36" s="61"/>
      <c r="N36" s="62"/>
    </row>
    <row r="37" spans="2:14" s="60" customFormat="1" ht="21" customHeight="1">
      <c r="B37" s="78"/>
      <c r="C37" s="98"/>
      <c r="D37" s="99"/>
      <c r="E37" s="100"/>
      <c r="F37" s="58"/>
      <c r="G37" s="39"/>
      <c r="H37" s="59"/>
      <c r="I37" s="59"/>
      <c r="J37" s="59"/>
      <c r="K37" s="40"/>
      <c r="L37" s="61"/>
      <c r="M37" s="61"/>
      <c r="N37" s="62"/>
    </row>
    <row r="38" spans="2:14" s="60" customFormat="1" ht="21" customHeight="1">
      <c r="B38" s="78"/>
      <c r="C38" s="98"/>
      <c r="D38" s="99"/>
      <c r="E38" s="100"/>
      <c r="F38" s="58"/>
      <c r="G38" s="39"/>
      <c r="H38" s="59"/>
      <c r="I38" s="59"/>
      <c r="J38" s="59"/>
      <c r="K38" s="40"/>
      <c r="L38" s="61"/>
      <c r="M38" s="61"/>
      <c r="N38" s="62"/>
    </row>
    <row r="39" spans="2:14" s="60" customFormat="1" ht="21" customHeight="1">
      <c r="B39" s="78"/>
      <c r="C39" s="98"/>
      <c r="D39" s="99"/>
      <c r="E39" s="100"/>
      <c r="F39" s="58"/>
      <c r="G39" s="39"/>
      <c r="H39" s="59"/>
      <c r="I39" s="59"/>
      <c r="J39" s="59"/>
      <c r="K39" s="40"/>
      <c r="L39" s="61"/>
      <c r="M39" s="61"/>
      <c r="N39" s="62"/>
    </row>
    <row r="40" spans="2:14" s="60" customFormat="1" ht="21" customHeight="1">
      <c r="B40" s="78"/>
      <c r="C40" s="98"/>
      <c r="D40" s="99"/>
      <c r="E40" s="100"/>
      <c r="F40" s="58"/>
      <c r="G40" s="39"/>
      <c r="H40" s="59"/>
      <c r="I40" s="59"/>
      <c r="J40" s="59"/>
      <c r="K40" s="40"/>
      <c r="L40" s="61"/>
      <c r="M40" s="61"/>
      <c r="N40" s="62"/>
    </row>
    <row r="41" spans="2:14" s="60" customFormat="1" ht="21" customHeight="1">
      <c r="B41" s="78"/>
      <c r="C41" s="98"/>
      <c r="D41" s="99"/>
      <c r="E41" s="100"/>
      <c r="F41" s="58"/>
      <c r="G41" s="39"/>
      <c r="H41" s="59"/>
      <c r="I41" s="59"/>
      <c r="J41" s="59"/>
      <c r="K41" s="40"/>
      <c r="L41" s="61"/>
      <c r="M41" s="61"/>
      <c r="N41" s="62"/>
    </row>
    <row r="42" spans="2:14" s="60" customFormat="1" ht="21" customHeight="1">
      <c r="B42" s="78"/>
      <c r="C42" s="98"/>
      <c r="D42" s="99"/>
      <c r="E42" s="100"/>
      <c r="F42" s="58"/>
      <c r="G42" s="39"/>
      <c r="H42" s="59"/>
      <c r="I42" s="59"/>
      <c r="J42" s="59"/>
      <c r="K42" s="40"/>
      <c r="L42" s="61"/>
      <c r="M42" s="61"/>
      <c r="N42" s="62"/>
    </row>
    <row r="43" spans="2:14" s="60" customFormat="1" ht="21" customHeight="1">
      <c r="B43" s="78"/>
      <c r="C43" s="98"/>
      <c r="D43" s="99"/>
      <c r="E43" s="100"/>
      <c r="F43" s="58"/>
      <c r="G43" s="39"/>
      <c r="H43" s="59"/>
      <c r="I43" s="59"/>
      <c r="J43" s="59"/>
      <c r="K43" s="40"/>
      <c r="L43" s="61"/>
      <c r="M43" s="61"/>
      <c r="N43" s="62"/>
    </row>
    <row r="44" spans="2:14" s="60" customFormat="1" ht="21" customHeight="1">
      <c r="B44" s="78"/>
      <c r="C44" s="98"/>
      <c r="D44" s="99"/>
      <c r="E44" s="100"/>
      <c r="F44" s="58"/>
      <c r="G44" s="39"/>
      <c r="H44" s="59"/>
      <c r="I44" s="59"/>
      <c r="J44" s="59"/>
      <c r="K44" s="40"/>
      <c r="L44" s="61"/>
      <c r="M44" s="61"/>
      <c r="N44" s="62"/>
    </row>
    <row r="45" spans="2:14" s="60" customFormat="1" ht="21" customHeight="1">
      <c r="B45" s="78"/>
      <c r="C45" s="98"/>
      <c r="D45" s="99"/>
      <c r="E45" s="100"/>
      <c r="F45" s="58"/>
      <c r="G45" s="39"/>
      <c r="H45" s="59"/>
      <c r="I45" s="59"/>
      <c r="J45" s="59"/>
      <c r="K45" s="40"/>
      <c r="L45" s="61"/>
      <c r="M45" s="61"/>
      <c r="N45" s="62"/>
    </row>
    <row r="46" spans="2:14" s="60" customFormat="1" ht="21" customHeight="1">
      <c r="B46" s="78"/>
      <c r="C46" s="98"/>
      <c r="D46" s="99"/>
      <c r="E46" s="100"/>
      <c r="F46" s="58"/>
      <c r="G46" s="39"/>
      <c r="H46" s="59"/>
      <c r="I46" s="59"/>
      <c r="J46" s="59"/>
      <c r="K46" s="40"/>
      <c r="L46" s="61"/>
      <c r="M46" s="61"/>
      <c r="N46" s="62"/>
    </row>
    <row r="47" spans="2:14" s="60" customFormat="1" ht="21" customHeight="1">
      <c r="B47" s="78"/>
      <c r="C47" s="98"/>
      <c r="D47" s="99"/>
      <c r="E47" s="100"/>
      <c r="F47" s="58"/>
      <c r="G47" s="39"/>
      <c r="H47" s="59"/>
      <c r="I47" s="59"/>
      <c r="J47" s="59"/>
      <c r="K47" s="40"/>
      <c r="L47" s="61"/>
      <c r="M47" s="61"/>
      <c r="N47" s="62"/>
    </row>
    <row r="48" spans="2:14" s="60" customFormat="1" ht="21" customHeight="1">
      <c r="B48" s="78"/>
      <c r="C48" s="98"/>
      <c r="D48" s="99"/>
      <c r="E48" s="100"/>
      <c r="F48" s="58"/>
      <c r="G48" s="39"/>
      <c r="H48" s="59"/>
      <c r="I48" s="59"/>
      <c r="J48" s="59"/>
      <c r="K48" s="40"/>
      <c r="L48" s="61"/>
      <c r="M48" s="61"/>
      <c r="N48" s="62"/>
    </row>
    <row r="49" spans="2:14" s="60" customFormat="1" ht="21" customHeight="1">
      <c r="B49" s="78"/>
      <c r="C49" s="98"/>
      <c r="D49" s="99"/>
      <c r="E49" s="100"/>
      <c r="F49" s="58"/>
      <c r="G49" s="39"/>
      <c r="H49" s="59"/>
      <c r="I49" s="59"/>
      <c r="J49" s="59"/>
      <c r="K49" s="40"/>
      <c r="L49" s="61"/>
      <c r="M49" s="61"/>
      <c r="N49" s="62"/>
    </row>
    <row r="50" spans="2:14" s="60" customFormat="1" ht="21" customHeight="1">
      <c r="B50" s="78"/>
      <c r="C50" s="98"/>
      <c r="D50" s="99"/>
      <c r="E50" s="100"/>
      <c r="F50" s="58"/>
      <c r="G50" s="39"/>
      <c r="H50" s="59"/>
      <c r="I50" s="59"/>
      <c r="J50" s="59"/>
      <c r="K50" s="40"/>
      <c r="L50" s="61"/>
      <c r="M50" s="61"/>
      <c r="N50" s="62"/>
    </row>
    <row r="51" spans="2:14" s="60" customFormat="1" ht="21" customHeight="1">
      <c r="B51" s="78"/>
      <c r="C51" s="98"/>
      <c r="D51" s="99"/>
      <c r="E51" s="100"/>
      <c r="F51" s="58"/>
      <c r="G51" s="39"/>
      <c r="H51" s="59"/>
      <c r="I51" s="59"/>
      <c r="J51" s="59"/>
      <c r="K51" s="40"/>
      <c r="L51" s="61"/>
      <c r="M51" s="61"/>
      <c r="N51" s="62"/>
    </row>
    <row r="52" spans="2:14" s="60" customFormat="1" ht="21" customHeight="1">
      <c r="B52" s="78"/>
      <c r="C52" s="98"/>
      <c r="D52" s="99"/>
      <c r="E52" s="100"/>
      <c r="F52" s="58"/>
      <c r="G52" s="39"/>
      <c r="H52" s="59"/>
      <c r="I52" s="59"/>
      <c r="J52" s="59"/>
      <c r="K52" s="40"/>
      <c r="L52" s="61"/>
      <c r="M52" s="61"/>
      <c r="N52" s="62"/>
    </row>
    <row r="53" spans="2:14" s="60" customFormat="1" ht="21" customHeight="1">
      <c r="B53" s="78"/>
      <c r="C53" s="98"/>
      <c r="D53" s="99"/>
      <c r="E53" s="100"/>
      <c r="F53" s="58"/>
      <c r="G53" s="39"/>
      <c r="H53" s="59"/>
      <c r="I53" s="59"/>
      <c r="J53" s="59"/>
      <c r="K53" s="40"/>
      <c r="L53" s="61"/>
      <c r="M53" s="61"/>
      <c r="N53" s="62"/>
    </row>
    <row r="54" spans="2:14" s="60" customFormat="1" ht="21" customHeight="1">
      <c r="B54" s="78"/>
      <c r="C54" s="98"/>
      <c r="D54" s="99"/>
      <c r="E54" s="100"/>
      <c r="F54" s="58"/>
      <c r="G54" s="39"/>
      <c r="H54" s="59"/>
      <c r="I54" s="59"/>
      <c r="J54" s="59"/>
      <c r="K54" s="40"/>
      <c r="L54" s="61"/>
      <c r="M54" s="61"/>
      <c r="N54" s="62"/>
    </row>
    <row r="55" spans="2:14" s="60" customFormat="1" ht="21" customHeight="1">
      <c r="B55" s="78"/>
      <c r="C55" s="98"/>
      <c r="D55" s="99"/>
      <c r="E55" s="100"/>
      <c r="F55" s="58"/>
      <c r="G55" s="39"/>
      <c r="H55" s="59"/>
      <c r="I55" s="59"/>
      <c r="J55" s="59"/>
      <c r="K55" s="40"/>
      <c r="L55" s="61"/>
      <c r="M55" s="61"/>
      <c r="N55" s="62"/>
    </row>
    <row r="56" spans="2:14" s="60" customFormat="1" ht="21" customHeight="1">
      <c r="B56" s="78"/>
      <c r="C56" s="98"/>
      <c r="D56" s="99"/>
      <c r="E56" s="100"/>
      <c r="F56" s="58"/>
      <c r="G56" s="39"/>
      <c r="H56" s="59"/>
      <c r="I56" s="59"/>
      <c r="J56" s="59"/>
      <c r="K56" s="40"/>
      <c r="L56" s="61"/>
      <c r="M56" s="61"/>
      <c r="N56" s="62"/>
    </row>
    <row r="57" spans="2:14" s="60" customFormat="1" ht="21" customHeight="1">
      <c r="B57" s="78"/>
      <c r="C57" s="98"/>
      <c r="D57" s="99"/>
      <c r="E57" s="100"/>
      <c r="F57" s="58"/>
      <c r="G57" s="39"/>
      <c r="H57" s="59"/>
      <c r="I57" s="59"/>
      <c r="J57" s="59"/>
      <c r="K57" s="40"/>
      <c r="L57" s="61"/>
      <c r="M57" s="61"/>
      <c r="N57" s="62"/>
    </row>
    <row r="58" spans="2:14" s="60" customFormat="1" ht="21" customHeight="1">
      <c r="B58" s="78"/>
      <c r="C58" s="98"/>
      <c r="D58" s="99"/>
      <c r="E58" s="100"/>
      <c r="F58" s="58"/>
      <c r="G58" s="39"/>
      <c r="H58" s="59"/>
      <c r="I58" s="59"/>
      <c r="J58" s="59"/>
      <c r="K58" s="40"/>
      <c r="L58" s="61"/>
      <c r="M58" s="61"/>
      <c r="N58" s="62"/>
    </row>
    <row r="59" spans="2:14" s="60" customFormat="1" ht="21" customHeight="1">
      <c r="B59" s="78"/>
      <c r="C59" s="98"/>
      <c r="D59" s="99"/>
      <c r="E59" s="100"/>
      <c r="F59" s="58"/>
      <c r="G59" s="39"/>
      <c r="H59" s="59"/>
      <c r="I59" s="59"/>
      <c r="J59" s="59"/>
      <c r="K59" s="40"/>
      <c r="L59" s="61"/>
      <c r="M59" s="61"/>
      <c r="N59" s="62"/>
    </row>
    <row r="60" spans="2:14" s="60" customFormat="1" ht="21" customHeight="1">
      <c r="B60" s="78"/>
      <c r="C60" s="98"/>
      <c r="D60" s="99"/>
      <c r="E60" s="100"/>
      <c r="F60" s="58"/>
      <c r="G60" s="39"/>
      <c r="H60" s="59"/>
      <c r="I60" s="59"/>
      <c r="J60" s="59"/>
      <c r="K60" s="40"/>
      <c r="L60" s="61"/>
      <c r="M60" s="61"/>
      <c r="N60" s="62"/>
    </row>
    <row r="61" spans="2:14" s="60" customFormat="1" ht="21" customHeight="1">
      <c r="B61" s="78"/>
      <c r="C61" s="98"/>
      <c r="D61" s="99"/>
      <c r="E61" s="100"/>
      <c r="F61" s="58"/>
      <c r="G61" s="39"/>
      <c r="H61" s="59"/>
      <c r="I61" s="59"/>
      <c r="J61" s="59"/>
      <c r="K61" s="40"/>
      <c r="L61" s="61"/>
      <c r="M61" s="61"/>
      <c r="N61" s="62"/>
    </row>
    <row r="62" spans="2:14" s="60" customFormat="1" ht="21" customHeight="1">
      <c r="B62" s="78"/>
      <c r="C62" s="98"/>
      <c r="D62" s="99"/>
      <c r="E62" s="100"/>
      <c r="F62" s="58"/>
      <c r="G62" s="39"/>
      <c r="H62" s="59"/>
      <c r="I62" s="59"/>
      <c r="J62" s="59"/>
      <c r="K62" s="40"/>
      <c r="L62" s="61"/>
      <c r="M62" s="61"/>
      <c r="N62" s="62"/>
    </row>
    <row r="63" spans="2:14" s="60" customFormat="1" ht="21" customHeight="1">
      <c r="B63" s="78"/>
      <c r="C63" s="98"/>
      <c r="D63" s="99"/>
      <c r="E63" s="100"/>
      <c r="F63" s="58"/>
      <c r="G63" s="39"/>
      <c r="H63" s="59"/>
      <c r="I63" s="59"/>
      <c r="J63" s="59"/>
      <c r="K63" s="40"/>
      <c r="L63" s="61"/>
      <c r="M63" s="61"/>
      <c r="N63" s="62"/>
    </row>
    <row r="64" spans="2:14" s="60" customFormat="1" ht="21" customHeight="1">
      <c r="B64" s="78"/>
      <c r="C64" s="98"/>
      <c r="D64" s="99"/>
      <c r="E64" s="100"/>
      <c r="F64" s="58"/>
      <c r="G64" s="39"/>
      <c r="H64" s="59"/>
      <c r="I64" s="59"/>
      <c r="J64" s="59"/>
      <c r="K64" s="40"/>
      <c r="L64" s="61"/>
      <c r="M64" s="61"/>
      <c r="N64" s="62"/>
    </row>
    <row r="65" spans="2:14" s="60" customFormat="1" ht="21" customHeight="1">
      <c r="B65" s="78"/>
      <c r="C65" s="98"/>
      <c r="D65" s="99"/>
      <c r="E65" s="100"/>
      <c r="F65" s="58"/>
      <c r="G65" s="39"/>
      <c r="H65" s="59"/>
      <c r="I65" s="59"/>
      <c r="J65" s="59"/>
      <c r="K65" s="40"/>
      <c r="L65" s="61"/>
      <c r="M65" s="61"/>
      <c r="N65" s="62"/>
    </row>
    <row r="66" spans="2:14" s="60" customFormat="1" ht="21" customHeight="1">
      <c r="B66" s="78"/>
      <c r="C66" s="98"/>
      <c r="D66" s="99"/>
      <c r="E66" s="100"/>
      <c r="F66" s="58"/>
      <c r="G66" s="39"/>
      <c r="H66" s="59"/>
      <c r="I66" s="59"/>
      <c r="J66" s="59"/>
      <c r="K66" s="40"/>
      <c r="L66" s="61"/>
      <c r="M66" s="61"/>
      <c r="N66" s="62"/>
    </row>
    <row r="67" spans="2:14" s="60" customFormat="1" ht="18" customHeight="1">
      <c r="B67" s="63"/>
      <c r="C67" s="88" t="s">
        <v>17</v>
      </c>
      <c r="D67" s="89"/>
      <c r="E67" s="90"/>
      <c r="F67" s="58"/>
      <c r="G67" s="39"/>
      <c r="H67" s="59"/>
      <c r="I67" s="59"/>
      <c r="J67" s="59"/>
      <c r="K67" s="40"/>
      <c r="L67" s="61"/>
      <c r="M67" s="61"/>
      <c r="N67" s="62"/>
    </row>
    <row r="68" spans="2:14" s="60" customFormat="1" ht="18" customHeight="1">
      <c r="B68" s="76"/>
      <c r="C68" s="74"/>
      <c r="D68" s="74"/>
      <c r="E68" s="74"/>
      <c r="F68" s="75"/>
      <c r="G68" s="91" t="s">
        <v>24</v>
      </c>
      <c r="H68" s="92"/>
      <c r="I68" s="93"/>
      <c r="J68" s="42">
        <f>SUM(J17:J66)</f>
        <v>0</v>
      </c>
      <c r="K68" s="40"/>
      <c r="L68" s="61"/>
      <c r="M68" s="61"/>
      <c r="N68" s="62"/>
    </row>
    <row r="69" spans="2:14" s="15" customFormat="1" ht="18" customHeight="1">
      <c r="B69" s="44"/>
      <c r="C69" s="44"/>
      <c r="D69" s="44"/>
      <c r="E69" s="44"/>
      <c r="F69" s="44"/>
      <c r="G69" s="91" t="s">
        <v>21</v>
      </c>
      <c r="H69" s="92"/>
      <c r="I69" s="93"/>
      <c r="J69" s="42">
        <f>J68</f>
        <v>0</v>
      </c>
      <c r="K69" s="43"/>
      <c r="L69" s="50"/>
      <c r="M69" s="50"/>
      <c r="N69" s="41"/>
    </row>
    <row r="70" spans="2:14" s="15" customFormat="1" ht="18" hidden="1" customHeight="1">
      <c r="G70" s="94" t="s">
        <v>10</v>
      </c>
      <c r="H70" s="95" t="s">
        <v>10</v>
      </c>
      <c r="I70" s="77"/>
      <c r="J70" s="57"/>
      <c r="K70" s="43"/>
      <c r="L70" s="50"/>
      <c r="M70" s="50"/>
      <c r="N70" s="41"/>
    </row>
    <row r="71" spans="2:14" s="15" customFormat="1" ht="16.25" customHeight="1">
      <c r="E71" s="73"/>
      <c r="G71" s="91" t="s">
        <v>15</v>
      </c>
      <c r="H71" s="92" t="s">
        <v>16</v>
      </c>
      <c r="I71" s="93"/>
      <c r="J71" s="64">
        <f>J69*0.05</f>
        <v>0</v>
      </c>
      <c r="K71" s="43"/>
      <c r="L71" s="66"/>
      <c r="M71" s="65"/>
      <c r="N71" s="41"/>
    </row>
    <row r="72" spans="2:14" s="15" customFormat="1" ht="16">
      <c r="F72" s="19"/>
      <c r="G72" s="91" t="s">
        <v>22</v>
      </c>
      <c r="H72" s="92"/>
      <c r="I72" s="93"/>
      <c r="J72" s="64">
        <f>J71+J69</f>
        <v>0</v>
      </c>
      <c r="K72" s="43"/>
      <c r="L72" s="66"/>
      <c r="M72" s="65"/>
      <c r="N72" s="41"/>
    </row>
    <row r="73" spans="2:14" s="15" customFormat="1" ht="16">
      <c r="F73" s="19"/>
      <c r="G73" s="67"/>
      <c r="H73" s="67"/>
      <c r="I73" s="67"/>
      <c r="J73" s="68"/>
      <c r="K73" s="43"/>
      <c r="L73" s="66"/>
      <c r="M73" s="65"/>
      <c r="N73" s="41"/>
    </row>
    <row r="74" spans="2:14" s="15" customFormat="1" ht="16">
      <c r="F74" s="19"/>
      <c r="G74" s="67"/>
      <c r="H74" s="67"/>
      <c r="I74" s="67"/>
      <c r="J74" s="68"/>
      <c r="K74" s="43"/>
      <c r="L74" s="66"/>
      <c r="M74" s="65"/>
      <c r="N74" s="41"/>
    </row>
    <row r="75" spans="2:14" s="15" customFormat="1" ht="16">
      <c r="F75" s="19"/>
      <c r="G75" s="67"/>
      <c r="H75" s="67"/>
      <c r="I75" s="67"/>
      <c r="J75" s="68"/>
      <c r="K75" s="43"/>
      <c r="L75" s="66"/>
      <c r="M75" s="65"/>
      <c r="N75" s="41"/>
    </row>
    <row r="76" spans="2:14" s="15" customFormat="1" ht="18.75" customHeight="1">
      <c r="C76" s="16"/>
      <c r="D76" s="16"/>
      <c r="E76" s="16"/>
      <c r="G76" s="7"/>
      <c r="H76" s="21"/>
      <c r="I76" s="21"/>
      <c r="J76" s="21"/>
      <c r="K76" s="17"/>
      <c r="L76" s="53"/>
      <c r="M76" s="53"/>
      <c r="N76" s="11"/>
    </row>
    <row r="77" spans="2:14" ht="15.5" customHeight="1">
      <c r="B77" s="96" t="s">
        <v>38</v>
      </c>
      <c r="C77" s="96"/>
      <c r="D77" s="18"/>
      <c r="E77" s="18"/>
      <c r="F77" s="19"/>
      <c r="G77" s="20"/>
      <c r="H77" s="97" t="s">
        <v>1</v>
      </c>
      <c r="I77" s="97"/>
      <c r="J77" s="97"/>
      <c r="K77" s="70"/>
    </row>
    <row r="78" spans="2:14">
      <c r="B78" s="96"/>
      <c r="C78" s="96"/>
      <c r="D78" s="8"/>
      <c r="E78" s="8"/>
      <c r="H78" s="21"/>
      <c r="I78" s="21"/>
      <c r="J78" s="21"/>
      <c r="K78" s="21"/>
    </row>
    <row r="79" spans="2:14">
      <c r="B79" s="8"/>
      <c r="C79" s="8"/>
      <c r="D79" s="8"/>
      <c r="E79" s="8"/>
      <c r="H79" s="21"/>
      <c r="I79" s="21"/>
      <c r="J79" s="21"/>
      <c r="K79" s="21"/>
    </row>
    <row r="80" spans="2:14" ht="16">
      <c r="B80" s="8" t="s">
        <v>9</v>
      </c>
      <c r="C80" s="22"/>
      <c r="D80" s="22"/>
      <c r="E80" s="22"/>
      <c r="H80" s="84"/>
      <c r="I80" s="84"/>
      <c r="J80" s="85"/>
      <c r="K80" s="71"/>
    </row>
    <row r="81" spans="1:14" ht="16">
      <c r="C81" s="23"/>
      <c r="D81" s="23"/>
      <c r="E81" s="23"/>
      <c r="H81" s="71"/>
      <c r="I81" s="71"/>
      <c r="J81" s="71"/>
      <c r="K81" s="71"/>
    </row>
    <row r="82" spans="1:14">
      <c r="B82" s="24"/>
      <c r="F82" s="25"/>
      <c r="H82" s="26"/>
      <c r="I82" s="26"/>
      <c r="J82" s="26"/>
      <c r="K82" s="26"/>
    </row>
    <row r="83" spans="1:14">
      <c r="B83" s="28" t="s">
        <v>2</v>
      </c>
      <c r="L83" s="54"/>
      <c r="M83" s="54"/>
      <c r="N83" s="34"/>
    </row>
    <row r="84" spans="1:14" ht="18" customHeight="1">
      <c r="B84" s="35" t="s">
        <v>23</v>
      </c>
      <c r="L84" s="54"/>
      <c r="M84" s="54"/>
      <c r="N84" s="34"/>
    </row>
    <row r="85" spans="1:14" ht="18" customHeight="1">
      <c r="B85" s="101" t="s">
        <v>29</v>
      </c>
      <c r="C85" s="101"/>
      <c r="D85" s="101"/>
      <c r="E85" s="101"/>
      <c r="F85" s="101"/>
      <c r="G85" s="101"/>
      <c r="H85" s="101"/>
      <c r="L85" s="54"/>
      <c r="M85" s="54"/>
      <c r="N85" s="34"/>
    </row>
    <row r="86" spans="1:14" ht="18" customHeight="1">
      <c r="B86" s="35" t="s">
        <v>26</v>
      </c>
      <c r="C86" s="36"/>
      <c r="D86" s="36"/>
      <c r="E86" s="36"/>
      <c r="L86" s="54"/>
      <c r="M86" s="54"/>
      <c r="N86" s="34"/>
    </row>
    <row r="87" spans="1:14" s="37" customFormat="1" ht="18" customHeight="1">
      <c r="B87" s="35" t="s">
        <v>39</v>
      </c>
      <c r="C87" s="36"/>
      <c r="D87" s="36"/>
      <c r="E87" s="36"/>
      <c r="F87" s="1"/>
      <c r="G87" s="7"/>
      <c r="L87" s="55"/>
      <c r="M87" s="55"/>
    </row>
    <row r="88" spans="1:14" ht="17">
      <c r="B88" s="35" t="s">
        <v>27</v>
      </c>
      <c r="C88" s="37"/>
      <c r="D88" s="37"/>
      <c r="E88" s="37"/>
      <c r="F88" s="37"/>
      <c r="G88" s="37"/>
      <c r="H88" s="1"/>
      <c r="I88" s="1"/>
      <c r="J88" s="1"/>
      <c r="K88" s="1"/>
      <c r="L88" s="54"/>
      <c r="M88" s="54"/>
      <c r="N88" s="34"/>
    </row>
    <row r="89" spans="1:14">
      <c r="B89" s="35" t="s">
        <v>28</v>
      </c>
      <c r="G89" s="1"/>
      <c r="H89" s="1"/>
      <c r="I89" s="1"/>
      <c r="J89" s="1"/>
      <c r="K89" s="1"/>
      <c r="L89" s="54"/>
      <c r="M89" s="54"/>
      <c r="N89" s="34"/>
    </row>
    <row r="90" spans="1:14" ht="16.5">
      <c r="B90" s="35"/>
      <c r="C90" s="79"/>
      <c r="G90" s="1"/>
      <c r="H90" s="1"/>
      <c r="I90" s="1"/>
      <c r="J90" s="1"/>
      <c r="K90" s="1"/>
      <c r="L90" s="54"/>
      <c r="M90" s="54"/>
      <c r="N90" s="34"/>
    </row>
    <row r="91" spans="1:14" s="28" customFormat="1">
      <c r="A91" s="27"/>
      <c r="B91" s="28" t="s">
        <v>8</v>
      </c>
      <c r="C91" s="29"/>
      <c r="D91" s="29"/>
      <c r="E91" s="29"/>
      <c r="F91" s="27"/>
      <c r="G91" s="29" t="s">
        <v>7</v>
      </c>
      <c r="H91" s="27"/>
      <c r="I91" s="27"/>
      <c r="J91" s="27"/>
      <c r="K91" s="27"/>
      <c r="L91" s="56"/>
      <c r="M91" s="56"/>
      <c r="N91" s="30"/>
    </row>
    <row r="92" spans="1:14" s="28" customFormat="1" ht="23">
      <c r="G92" s="86" t="s">
        <v>25</v>
      </c>
      <c r="H92" s="86"/>
      <c r="I92" s="86"/>
      <c r="J92" s="86"/>
      <c r="K92" s="31"/>
      <c r="L92" s="49"/>
      <c r="M92" s="49"/>
      <c r="N92" s="6"/>
    </row>
    <row r="93" spans="1:14" s="28" customFormat="1" ht="23">
      <c r="G93" s="86"/>
      <c r="H93" s="86"/>
      <c r="I93" s="86"/>
      <c r="J93" s="86"/>
      <c r="K93" s="31"/>
      <c r="L93" s="49"/>
      <c r="M93" s="49"/>
      <c r="N93" s="6"/>
    </row>
    <row r="94" spans="1:14" s="28" customFormat="1" ht="23.5" thickBot="1">
      <c r="B94" s="32"/>
      <c r="C94" s="32"/>
      <c r="G94" s="87"/>
      <c r="H94" s="87"/>
      <c r="I94" s="87"/>
      <c r="J94" s="87"/>
      <c r="K94" s="31"/>
      <c r="L94" s="49"/>
      <c r="M94" s="49"/>
      <c r="N94" s="6"/>
    </row>
    <row r="95" spans="1:14" s="33" customFormat="1" ht="18" customHeight="1">
      <c r="B95" s="33" t="s">
        <v>5</v>
      </c>
      <c r="G95" s="33" t="s">
        <v>6</v>
      </c>
      <c r="L95" s="53"/>
      <c r="M95" s="53"/>
      <c r="N95" s="11"/>
    </row>
  </sheetData>
  <mergeCells count="63">
    <mergeCell ref="C65:E65"/>
    <mergeCell ref="C66:E66"/>
    <mergeCell ref="C60:E60"/>
    <mergeCell ref="C61:E61"/>
    <mergeCell ref="C62:E62"/>
    <mergeCell ref="C63:E63"/>
    <mergeCell ref="C64:E64"/>
    <mergeCell ref="C55:E55"/>
    <mergeCell ref="C56:E56"/>
    <mergeCell ref="C57:E57"/>
    <mergeCell ref="C58:E58"/>
    <mergeCell ref="C59:E59"/>
    <mergeCell ref="C50:E50"/>
    <mergeCell ref="C51:E51"/>
    <mergeCell ref="C52:E52"/>
    <mergeCell ref="C53:E53"/>
    <mergeCell ref="C54:E54"/>
    <mergeCell ref="C45:E45"/>
    <mergeCell ref="C46:E46"/>
    <mergeCell ref="C47:E47"/>
    <mergeCell ref="C48:E48"/>
    <mergeCell ref="C49:E49"/>
    <mergeCell ref="C40:E40"/>
    <mergeCell ref="C41:E41"/>
    <mergeCell ref="C42:E42"/>
    <mergeCell ref="C43:E43"/>
    <mergeCell ref="C44:E44"/>
    <mergeCell ref="C35:E35"/>
    <mergeCell ref="C36:E36"/>
    <mergeCell ref="C37:E37"/>
    <mergeCell ref="C38:E38"/>
    <mergeCell ref="C39:E39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29:E29"/>
    <mergeCell ref="C20:E20"/>
    <mergeCell ref="C21:E21"/>
    <mergeCell ref="C22:E22"/>
    <mergeCell ref="C23:E23"/>
    <mergeCell ref="C24:E24"/>
    <mergeCell ref="B15:C15"/>
    <mergeCell ref="C16:E16"/>
    <mergeCell ref="H80:J80"/>
    <mergeCell ref="G92:J94"/>
    <mergeCell ref="C67:E67"/>
    <mergeCell ref="G69:I69"/>
    <mergeCell ref="G70:H70"/>
    <mergeCell ref="G71:I71"/>
    <mergeCell ref="B77:C78"/>
    <mergeCell ref="H77:J77"/>
    <mergeCell ref="G72:I72"/>
    <mergeCell ref="C17:E17"/>
    <mergeCell ref="B85:H85"/>
    <mergeCell ref="G68:I68"/>
    <mergeCell ref="C18:E18"/>
    <mergeCell ref="C19:E19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報價單 </vt:lpstr>
      <vt:lpstr>'報價單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李俊毅 Steven.Lee</cp:lastModifiedBy>
  <cp:lastPrinted>2025-09-08T08:43:44Z</cp:lastPrinted>
  <dcterms:created xsi:type="dcterms:W3CDTF">2018-02-07T09:15:23Z</dcterms:created>
  <dcterms:modified xsi:type="dcterms:W3CDTF">2026-10-06T08:55:32Z</dcterms:modified>
</cp:coreProperties>
</file>