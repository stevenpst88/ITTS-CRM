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ttscomtw0-my.sharepoint.com/personal/steven_lee_itts_com_tw/Documents/Desktop/"/>
    </mc:Choice>
  </mc:AlternateContent>
  <xr:revisionPtr revIDLastSave="20" documentId="13_ncr:1_{3C39934F-F7D1-4338-A1CF-3F86704076E8}" xr6:coauthVersionLast="47" xr6:coauthVersionMax="47" xr10:uidLastSave="{98DCC70D-0FD4-435E-9AB2-A6B446946910}"/>
  <bookViews>
    <workbookView xWindow="-110" yWindow="-110" windowWidth="19420" windowHeight="11500" tabRatio="1000" xr2:uid="{00000000-000D-0000-FFFF-FFFF00000000}"/>
  </bookViews>
  <sheets>
    <sheet name="報價單 " sheetId="83" r:id="rId1"/>
    <sheet name="PNL (C)" sheetId="78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___INV2" localSheetId="1">#REF!</definedName>
    <definedName name="____INV2" localSheetId="0">#REF!</definedName>
    <definedName name="____INV2">#REF!</definedName>
    <definedName name="___INV1" localSheetId="1">#REF!</definedName>
    <definedName name="___INV1" localSheetId="0">#REF!</definedName>
    <definedName name="___INV1">#REF!</definedName>
    <definedName name="__IntlFixup" hidden="1">TRUE</definedName>
    <definedName name="__IntlFixupTable" hidden="1">'[1]Intl Data Table'!$A$3:$AB$10</definedName>
    <definedName name="__INV2" localSheetId="1">#REF!</definedName>
    <definedName name="__INV2" localSheetId="0">#REF!</definedName>
    <definedName name="__INV2">#REF!</definedName>
    <definedName name="__inv3" localSheetId="1">#REF!</definedName>
    <definedName name="__inv3" localSheetId="0">#REF!</definedName>
    <definedName name="__inv3">#REF!</definedName>
    <definedName name="_0010_00396_01">'[2]Master Parts and Descriptions'!$E$35:$I$35</definedName>
    <definedName name="_0010_00499_01" localSheetId="1">'[3]Master Parts and Descriptions'!#REF!</definedName>
    <definedName name="_0010_00499_01" localSheetId="0">'[3]Master Parts and Descriptions'!#REF!</definedName>
    <definedName name="_0010_00499_01">'[3]Master Parts and Descriptions'!#REF!</definedName>
    <definedName name="_0010_00500_01" localSheetId="1">'[3]Master Parts and Descriptions'!#REF!</definedName>
    <definedName name="_0010_00500_01" localSheetId="0">'[3]Master Parts and Descriptions'!#REF!</definedName>
    <definedName name="_0010_00500_01">'[3]Master Parts and Descriptions'!#REF!</definedName>
    <definedName name="_0010_00501_01" localSheetId="1">'[3]Master Parts and Descriptions'!#REF!</definedName>
    <definedName name="_0010_00501_01" localSheetId="0">'[3]Master Parts and Descriptions'!#REF!</definedName>
    <definedName name="_0010_00501_01">'[3]Master Parts and Descriptions'!#REF!</definedName>
    <definedName name="_0010_00578_01" localSheetId="1">'[3]Master Parts and Descriptions'!#REF!</definedName>
    <definedName name="_0010_00578_01" localSheetId="0">'[3]Master Parts and Descriptions'!#REF!</definedName>
    <definedName name="_0010_00578_01">'[3]Master Parts and Descriptions'!#REF!</definedName>
    <definedName name="_0010_00579_01" localSheetId="1">'[3]Master Parts and Descriptions'!#REF!</definedName>
    <definedName name="_0010_00579_01" localSheetId="0">'[3]Master Parts and Descriptions'!#REF!</definedName>
    <definedName name="_0010_00579_01">'[3]Master Parts and Descriptions'!#REF!</definedName>
    <definedName name="_0010_00580_01" localSheetId="1">'[3]Master Parts and Descriptions'!#REF!</definedName>
    <definedName name="_0010_00580_01" localSheetId="0">'[3]Master Parts and Descriptions'!#REF!</definedName>
    <definedName name="_0010_00580_01">'[3]Master Parts and Descriptions'!#REF!</definedName>
    <definedName name="_0010_00581_01" localSheetId="1">'[3]Master Parts and Descriptions'!#REF!</definedName>
    <definedName name="_0010_00581_01" localSheetId="0">'[3]Master Parts and Descriptions'!#REF!</definedName>
    <definedName name="_0010_00581_01">'[3]Master Parts and Descriptions'!#REF!</definedName>
    <definedName name="_0010_00582_01" localSheetId="1">'[3]Master Parts and Descriptions'!#REF!</definedName>
    <definedName name="_0010_00582_01" localSheetId="0">'[3]Master Parts and Descriptions'!#REF!</definedName>
    <definedName name="_0010_00582_01">'[3]Master Parts and Descriptions'!#REF!</definedName>
    <definedName name="_0020_00283_01" localSheetId="1">'[3]Master Parts and Descriptions'!#REF!</definedName>
    <definedName name="_0020_00283_01" localSheetId="0">'[3]Master Parts and Descriptions'!#REF!</definedName>
    <definedName name="_0020_00283_01">'[3]Master Parts and Descriptions'!#REF!</definedName>
    <definedName name="_0060_00020_01" localSheetId="1">'[3]Master Parts and Descriptions'!#REF!</definedName>
    <definedName name="_0060_00020_01" localSheetId="0">'[3]Master Parts and Descriptions'!#REF!</definedName>
    <definedName name="_0060_00020_01">'[3]Master Parts and Descriptions'!#REF!</definedName>
    <definedName name="_0060_00021_01" localSheetId="1">'[3]Master Parts and Descriptions'!#REF!</definedName>
    <definedName name="_0060_00021_01" localSheetId="0">'[3]Master Parts and Descriptions'!#REF!</definedName>
    <definedName name="_0060_00021_01">'[3]Master Parts and Descriptions'!#REF!</definedName>
    <definedName name="_0070_00417_01" localSheetId="1">'[3]Master Parts and Descriptions'!#REF!</definedName>
    <definedName name="_0070_00417_01" localSheetId="0">'[3]Master Parts and Descriptions'!#REF!</definedName>
    <definedName name="_0070_00417_01">'[3]Master Parts and Descriptions'!#REF!</definedName>
    <definedName name="_0070_00419_01" localSheetId="1">'[3]Master Parts and Descriptions'!#REF!</definedName>
    <definedName name="_0070_00419_01" localSheetId="0">'[3]Master Parts and Descriptions'!#REF!</definedName>
    <definedName name="_0070_00419_01">'[3]Master Parts and Descriptions'!#REF!</definedName>
    <definedName name="_0070_00442_01">'[2]Master Parts and Descriptions'!$E$166:$I$166</definedName>
    <definedName name="_0100_xxxxx_01">'[2]Master Parts and Descriptions'!$E$238:$I$238</definedName>
    <definedName name="_0130_00691_01" localSheetId="1">'[3]Master Parts and Descriptions'!#REF!</definedName>
    <definedName name="_0130_00691_01" localSheetId="0">'[3]Master Parts and Descriptions'!#REF!</definedName>
    <definedName name="_0130_00691_01">'[3]Master Parts and Descriptions'!#REF!</definedName>
    <definedName name="_0130_00xxx_04">'[2]Master Parts and Descriptions'!$E$237:$I$237</definedName>
    <definedName name="_0540_00254_01" localSheetId="1">'[3]Master Parts and Descriptions'!#REF!</definedName>
    <definedName name="_0540_00254_01" localSheetId="0">'[3]Master Parts and Descriptions'!#REF!</definedName>
    <definedName name="_0540_00254_01">'[3]Master Parts and Descriptions'!#REF!</definedName>
    <definedName name="_0540_00281_02" localSheetId="1">'[3]Master Parts and Descriptions'!#REF!</definedName>
    <definedName name="_0540_00281_02" localSheetId="0">'[3]Master Parts and Descriptions'!#REF!</definedName>
    <definedName name="_0540_00281_02">'[3]Master Parts and Descriptions'!#REF!</definedName>
    <definedName name="_0540_00281_03" localSheetId="1">'[3]Master Parts and Descriptions'!#REF!</definedName>
    <definedName name="_0540_00281_03" localSheetId="0">'[3]Master Parts and Descriptions'!#REF!</definedName>
    <definedName name="_0540_00281_03">'[3]Master Parts and Descriptions'!#REF!</definedName>
    <definedName name="_0540_00281_04" localSheetId="1">'[3]Master Parts and Descriptions'!#REF!</definedName>
    <definedName name="_0540_00281_04" localSheetId="0">'[3]Master Parts and Descriptions'!#REF!</definedName>
    <definedName name="_0540_00281_04">'[3]Master Parts and Descriptions'!#REF!</definedName>
    <definedName name="_0540_00282_02" localSheetId="1">'[3]Master Parts and Descriptions'!#REF!</definedName>
    <definedName name="_0540_00282_02" localSheetId="0">'[3]Master Parts and Descriptions'!#REF!</definedName>
    <definedName name="_0540_00282_02">'[3]Master Parts and Descriptions'!#REF!</definedName>
    <definedName name="_0540_00282_03" localSheetId="1">'[3]Master Parts and Descriptions'!#REF!</definedName>
    <definedName name="_0540_00282_03" localSheetId="0">'[3]Master Parts and Descriptions'!#REF!</definedName>
    <definedName name="_0540_00282_03">'[3]Master Parts and Descriptions'!#REF!</definedName>
    <definedName name="_0540_00282_04" localSheetId="1">'[3]Master Parts and Descriptions'!#REF!</definedName>
    <definedName name="_0540_00282_04" localSheetId="0">'[3]Master Parts and Descriptions'!#REF!</definedName>
    <definedName name="_0540_00282_04">'[3]Master Parts and Descriptions'!#REF!</definedName>
    <definedName name="_0540_00282_04_Part_Number" localSheetId="1">#REF!</definedName>
    <definedName name="_0540_00282_04_Part_Number" localSheetId="0">#REF!</definedName>
    <definedName name="_0540_00282_04_Part_Number">#REF!</definedName>
    <definedName name="_0540_00285_02" localSheetId="1">'[3]Master Parts and Descriptions'!#REF!</definedName>
    <definedName name="_0540_00285_02" localSheetId="0">'[3]Master Parts and Descriptions'!#REF!</definedName>
    <definedName name="_0540_00285_02">'[3]Master Parts and Descriptions'!#REF!</definedName>
    <definedName name="_0540_00285_03" localSheetId="1">'[3]Master Parts and Descriptions'!#REF!</definedName>
    <definedName name="_0540_00285_03" localSheetId="0">'[3]Master Parts and Descriptions'!#REF!</definedName>
    <definedName name="_0540_00285_03">'[3]Master Parts and Descriptions'!#REF!</definedName>
    <definedName name="_0540_00285_04" localSheetId="1">'[3]Master Parts and Descriptions'!#REF!</definedName>
    <definedName name="_0540_00285_04" localSheetId="0">'[3]Master Parts and Descriptions'!#REF!</definedName>
    <definedName name="_0540_00285_04">'[3]Master Parts and Descriptions'!#REF!</definedName>
    <definedName name="_0540_00286_02" localSheetId="1">'[3]Master Parts and Descriptions'!#REF!</definedName>
    <definedName name="_0540_00286_02" localSheetId="0">'[3]Master Parts and Descriptions'!#REF!</definedName>
    <definedName name="_0540_00286_02">'[3]Master Parts and Descriptions'!#REF!</definedName>
    <definedName name="_0540_00286_03" localSheetId="1">'[3]Master Parts and Descriptions'!#REF!</definedName>
    <definedName name="_0540_00286_03" localSheetId="0">'[3]Master Parts and Descriptions'!#REF!</definedName>
    <definedName name="_0540_00286_03">'[3]Master Parts and Descriptions'!#REF!</definedName>
    <definedName name="_0540_00286_04" localSheetId="1">'[3]Master Parts and Descriptions'!#REF!</definedName>
    <definedName name="_0540_00286_04" localSheetId="0">'[3]Master Parts and Descriptions'!#REF!</definedName>
    <definedName name="_0540_00286_04">'[3]Master Parts and Descriptions'!#REF!</definedName>
    <definedName name="_0540_00287_02" localSheetId="1">'[3]Master Parts and Descriptions'!#REF!</definedName>
    <definedName name="_0540_00287_02" localSheetId="0">'[3]Master Parts and Descriptions'!#REF!</definedName>
    <definedName name="_0540_00287_02">'[3]Master Parts and Descriptions'!#REF!</definedName>
    <definedName name="_0540_00287_03" localSheetId="1">'[3]Master Parts and Descriptions'!#REF!</definedName>
    <definedName name="_0540_00287_03" localSheetId="0">'[3]Master Parts and Descriptions'!#REF!</definedName>
    <definedName name="_0540_00287_03">'[3]Master Parts and Descriptions'!#REF!</definedName>
    <definedName name="_0540_00287_04" localSheetId="1">'[3]Master Parts and Descriptions'!#REF!</definedName>
    <definedName name="_0540_00287_04" localSheetId="0">'[3]Master Parts and Descriptions'!#REF!</definedName>
    <definedName name="_0540_00287_04">'[3]Master Parts and Descriptions'!#REF!</definedName>
    <definedName name="_0540_00317_01" localSheetId="1">'[3]Master Parts and Descriptions'!#REF!</definedName>
    <definedName name="_0540_00317_01" localSheetId="0">'[3]Master Parts and Descriptions'!#REF!</definedName>
    <definedName name="_0540_00317_01">'[3]Master Parts and Descriptions'!#REF!</definedName>
    <definedName name="_0540_00318_01" localSheetId="1">'[3]Master Parts and Descriptions'!#REF!</definedName>
    <definedName name="_0540_00318_01" localSheetId="0">'[3]Master Parts and Descriptions'!#REF!</definedName>
    <definedName name="_0540_00318_01">'[3]Master Parts and Descriptions'!#REF!</definedName>
    <definedName name="_0540_00319_01" localSheetId="1">'[3]Master Parts and Descriptions'!#REF!</definedName>
    <definedName name="_0540_00319_01" localSheetId="0">'[3]Master Parts and Descriptions'!#REF!</definedName>
    <definedName name="_0540_00319_01">'[3]Master Parts and Descriptions'!#REF!</definedName>
    <definedName name="_0540_00323_01" localSheetId="1">'[3]Master Parts and Descriptions'!#REF!</definedName>
    <definedName name="_0540_00323_01" localSheetId="0">'[3]Master Parts and Descriptions'!#REF!</definedName>
    <definedName name="_0540_00323_01">'[3]Master Parts and Descriptions'!#REF!</definedName>
    <definedName name="_0540_00324_01" localSheetId="1">'[3]Master Parts and Descriptions'!#REF!</definedName>
    <definedName name="_0540_00324_01" localSheetId="0">'[3]Master Parts and Descriptions'!#REF!</definedName>
    <definedName name="_0540_00324_01">'[3]Master Parts and Descriptions'!#REF!</definedName>
    <definedName name="_0540_00325_01" localSheetId="1">'[3]Master Parts and Descriptions'!#REF!</definedName>
    <definedName name="_0540_00325_01" localSheetId="0">'[3]Master Parts and Descriptions'!#REF!</definedName>
    <definedName name="_0540_00325_01">'[3]Master Parts and Descriptions'!#REF!</definedName>
    <definedName name="_1111_11111_01" localSheetId="1">'[2]Master Parts and Descriptions'!#REF!</definedName>
    <definedName name="_1111_11111_01" localSheetId="0">'[2]Master Parts and Descriptions'!#REF!</definedName>
    <definedName name="_1111_11111_01">'[2]Master Parts and Descriptions'!#REF!</definedName>
    <definedName name="_1111_11111_02" localSheetId="1">'[2]Master Parts and Descriptions'!#REF!</definedName>
    <definedName name="_1111_11111_02" localSheetId="0">'[2]Master Parts and Descriptions'!#REF!</definedName>
    <definedName name="_1111_11111_02">'[2]Master Parts and Descriptions'!#REF!</definedName>
    <definedName name="_1111_11111_03" localSheetId="1">'[2]Master Parts and Descriptions'!#REF!</definedName>
    <definedName name="_1111_11111_03" localSheetId="0">'[2]Master Parts and Descriptions'!#REF!</definedName>
    <definedName name="_1111_11111_03">'[2]Master Parts and Descriptions'!#REF!</definedName>
    <definedName name="_1111_11111_04" localSheetId="1">'[2]Master Parts and Descriptions'!#REF!</definedName>
    <definedName name="_1111_11111_04" localSheetId="0">'[2]Master Parts and Descriptions'!#REF!</definedName>
    <definedName name="_1111_11111_04">'[2]Master Parts and Descriptions'!#REF!</definedName>
    <definedName name="_1xxx_xxxxx_01" localSheetId="1">'[2]Master Parts and Descriptions'!#REF!</definedName>
    <definedName name="_1xxx_xxxxx_01" localSheetId="0">'[2]Master Parts and Descriptions'!#REF!</definedName>
    <definedName name="_1xxx_xxxxx_01">'[2]Master Parts and Descriptions'!#REF!</definedName>
    <definedName name="_1xxx_xxxxx_02" localSheetId="1">'[2]Master Parts and Descriptions'!#REF!</definedName>
    <definedName name="_1xxx_xxxxx_02" localSheetId="0">'[2]Master Parts and Descriptions'!#REF!</definedName>
    <definedName name="_1xxx_xxxxx_02">'[2]Master Parts and Descriptions'!#REF!</definedName>
    <definedName name="_1xxx_xxxxx_03" localSheetId="1">'[2]Master Parts and Descriptions'!#REF!</definedName>
    <definedName name="_1xxx_xxxxx_03" localSheetId="0">'[2]Master Parts and Descriptions'!#REF!</definedName>
    <definedName name="_1xxx_xxxxx_03">'[2]Master Parts and Descriptions'!#REF!</definedName>
    <definedName name="_1xxx_xxxxx_04" localSheetId="1">'[2]Master Parts and Descriptions'!#REF!</definedName>
    <definedName name="_1xxx_xxxxx_04" localSheetId="0">'[2]Master Parts and Descriptions'!#REF!</definedName>
    <definedName name="_1xxx_xxxxx_04">'[2]Master Parts and Descriptions'!#REF!</definedName>
    <definedName name="_2222_22222_02" localSheetId="1">'[2]Master Parts and Descriptions'!#REF!</definedName>
    <definedName name="_2222_22222_02" localSheetId="0">'[2]Master Parts and Descriptions'!#REF!</definedName>
    <definedName name="_2222_22222_02">'[2]Master Parts and Descriptions'!#REF!</definedName>
    <definedName name="_2xxx_xxxxx_01" localSheetId="1">'[2]Master Parts and Descriptions'!#REF!</definedName>
    <definedName name="_2xxx_xxxxx_01" localSheetId="0">'[2]Master Parts and Descriptions'!#REF!</definedName>
    <definedName name="_2xxx_xxxxx_01">'[2]Master Parts and Descriptions'!#REF!</definedName>
    <definedName name="_2xxx_xxxxx_02" localSheetId="1">'[2]Master Parts and Descriptions'!#REF!</definedName>
    <definedName name="_2xxx_xxxxx_02" localSheetId="0">'[2]Master Parts and Descriptions'!#REF!</definedName>
    <definedName name="_2xxx_xxxxx_02">'[2]Master Parts and Descriptions'!#REF!</definedName>
    <definedName name="_2xxx_xxxxx_03" localSheetId="1">'[2]Master Parts and Descriptions'!#REF!</definedName>
    <definedName name="_2xxx_xxxxx_03" localSheetId="0">'[2]Master Parts and Descriptions'!#REF!</definedName>
    <definedName name="_2xxx_xxxxx_03">'[2]Master Parts and Descriptions'!#REF!</definedName>
    <definedName name="_2xxx_xxxxx_04" localSheetId="1">'[2]Master Parts and Descriptions'!#REF!</definedName>
    <definedName name="_2xxx_xxxxx_04" localSheetId="0">'[2]Master Parts and Descriptions'!#REF!</definedName>
    <definedName name="_2xxx_xxxxx_04">'[2]Master Parts and Descriptions'!#REF!</definedName>
    <definedName name="_3333_33333_03" localSheetId="1">'[2]Master Parts and Descriptions'!#REF!</definedName>
    <definedName name="_3333_33333_03" localSheetId="0">'[2]Master Parts and Descriptions'!#REF!</definedName>
    <definedName name="_3333_33333_03">'[2]Master Parts and Descriptions'!#REF!</definedName>
    <definedName name="_3xxx_xxxxx_01" localSheetId="1">'[2]Master Parts and Descriptions'!#REF!</definedName>
    <definedName name="_3xxx_xxxxx_01" localSheetId="0">'[2]Master Parts and Descriptions'!#REF!</definedName>
    <definedName name="_3xxx_xxxxx_01">'[2]Master Parts and Descriptions'!#REF!</definedName>
    <definedName name="_3xxx_xxxxx_02" localSheetId="1">'[2]Master Parts and Descriptions'!#REF!</definedName>
    <definedName name="_3xxx_xxxxx_02" localSheetId="0">'[2]Master Parts and Descriptions'!#REF!</definedName>
    <definedName name="_3xxx_xxxxx_02">'[2]Master Parts and Descriptions'!#REF!</definedName>
    <definedName name="_3xxx_xxxxx_03" localSheetId="1">'[2]Master Parts and Descriptions'!#REF!</definedName>
    <definedName name="_3xxx_xxxxx_03" localSheetId="0">'[2]Master Parts and Descriptions'!#REF!</definedName>
    <definedName name="_3xxx_xxxxx_03">'[2]Master Parts and Descriptions'!#REF!</definedName>
    <definedName name="_3xxx_xxxxx_04" localSheetId="1">'[2]Master Parts and Descriptions'!#REF!</definedName>
    <definedName name="_3xxx_xxxxx_04" localSheetId="0">'[2]Master Parts and Descriptions'!#REF!</definedName>
    <definedName name="_3xxx_xxxxx_04">'[2]Master Parts and Descriptions'!#REF!</definedName>
    <definedName name="_4444_44444_04" localSheetId="1">'[2]Master Parts and Descriptions'!#REF!</definedName>
    <definedName name="_4444_44444_04" localSheetId="0">'[2]Master Parts and Descriptions'!#REF!</definedName>
    <definedName name="_4444_44444_04">'[2]Master Parts and Descriptions'!#REF!</definedName>
    <definedName name="_4xxx_xxxxx_01" localSheetId="1">'[2]Master Parts and Descriptions'!#REF!</definedName>
    <definedName name="_4xxx_xxxxx_01" localSheetId="0">'[2]Master Parts and Descriptions'!#REF!</definedName>
    <definedName name="_4xxx_xxxxx_01">'[2]Master Parts and Descriptions'!#REF!</definedName>
    <definedName name="_4xxx_xxxxx_02" localSheetId="1">'[2]Master Parts and Descriptions'!#REF!</definedName>
    <definedName name="_4xxx_xxxxx_02" localSheetId="0">'[2]Master Parts and Descriptions'!#REF!</definedName>
    <definedName name="_4xxx_xxxxx_02">'[2]Master Parts and Descriptions'!#REF!</definedName>
    <definedName name="_4xxx_xxxxx_03" localSheetId="1">'[2]Master Parts and Descriptions'!#REF!</definedName>
    <definedName name="_4xxx_xxxxx_03" localSheetId="0">'[2]Master Parts and Descriptions'!#REF!</definedName>
    <definedName name="_4xxx_xxxxx_03">'[2]Master Parts and Descriptions'!#REF!</definedName>
    <definedName name="_4xxx_xxxxx_04" localSheetId="1">'[2]Master Parts and Descriptions'!#REF!</definedName>
    <definedName name="_4xxx_xxxxx_04" localSheetId="0">'[2]Master Parts and Descriptions'!#REF!</definedName>
    <definedName name="_4xxx_xxxxx_04">'[2]Master Parts and Descriptions'!#REF!</definedName>
    <definedName name="_9999_99999_99" localSheetId="1">'[2]Master Parts and Descriptions'!#REF!</definedName>
    <definedName name="_9999_99999_99" localSheetId="0">'[2]Master Parts and Descriptions'!#REF!</definedName>
    <definedName name="_9999_99999_99">'[2]Master Parts and Descriptions'!#REF!</definedName>
    <definedName name="_INV2" localSheetId="1">#REF!</definedName>
    <definedName name="_INV2" localSheetId="0">#REF!</definedName>
    <definedName name="_INV2">#REF!</definedName>
    <definedName name="_PNL1101" localSheetId="0">#REF!</definedName>
    <definedName name="_PNL1101">#REF!</definedName>
    <definedName name="_SRS1" localSheetId="1">#REF!</definedName>
    <definedName name="_SRS1" localSheetId="0">#REF!</definedName>
    <definedName name="_SRS1">#REF!</definedName>
    <definedName name="_SRS2" localSheetId="1">#REF!</definedName>
    <definedName name="_SRS2" localSheetId="0">#REF!</definedName>
    <definedName name="_SRS2">#REF!</definedName>
    <definedName name="_tbl1" localSheetId="1">#REF!</definedName>
    <definedName name="_tbl1" localSheetId="0">#REF!</definedName>
    <definedName name="_tbl1">#REF!</definedName>
    <definedName name="a">#REF!</definedName>
    <definedName name="Assist_Sta">[2]Tables!$B$27</definedName>
    <definedName name="back6" localSheetId="1">#REF!</definedName>
    <definedName name="back6" localSheetId="0">#REF!</definedName>
    <definedName name="back6">#REF!</definedName>
    <definedName name="back7" localSheetId="1">#REF!</definedName>
    <definedName name="back7" localSheetId="0">#REF!</definedName>
    <definedName name="back7">#REF!</definedName>
    <definedName name="Beg_Bal">[4]貸款分期償還計畫表!$C$18:$C$497</definedName>
    <definedName name="BPM" localSheetId="1">#REF!</definedName>
    <definedName name="BPM" localSheetId="0">#REF!</definedName>
    <definedName name="BPM">#REF!</definedName>
    <definedName name="CDB" localSheetId="1">#REF!</definedName>
    <definedName name="CDB" localSheetId="0">#REF!</definedName>
    <definedName name="CDB">#REF!</definedName>
    <definedName name="ClassA" localSheetId="1">#REF!</definedName>
    <definedName name="ClassA" localSheetId="0">#REF!</definedName>
    <definedName name="ClassA">#REF!</definedName>
    <definedName name="ClassB" localSheetId="1">#REF!</definedName>
    <definedName name="ClassB" localSheetId="0">#REF!</definedName>
    <definedName name="ClassB">#REF!</definedName>
    <definedName name="ClassC" localSheetId="1">#REF!</definedName>
    <definedName name="ClassC" localSheetId="0">#REF!</definedName>
    <definedName name="ClassC">#REF!</definedName>
    <definedName name="ClassD" localSheetId="1">#REF!</definedName>
    <definedName name="ClassD" localSheetId="0">#REF!</definedName>
    <definedName name="ClassD">#REF!</definedName>
    <definedName name="CS" localSheetId="1">#REF!</definedName>
    <definedName name="CS" localSheetId="0">#REF!</definedName>
    <definedName name="CS">#REF!</definedName>
    <definedName name="data1" localSheetId="1">#REF!</definedName>
    <definedName name="data1" localSheetId="0">#REF!</definedName>
    <definedName name="data1">#REF!</definedName>
    <definedName name="data2" localSheetId="1">#REF!</definedName>
    <definedName name="data2" localSheetId="0">#REF!</definedName>
    <definedName name="data2">#REF!</definedName>
    <definedName name="data3" localSheetId="1">#REF!</definedName>
    <definedName name="data3" localSheetId="0">#REF!</definedName>
    <definedName name="data3">#REF!</definedName>
    <definedName name="data4" localSheetId="1">#REF!</definedName>
    <definedName name="data4" localSheetId="0">#REF!</definedName>
    <definedName name="data4">#REF!</definedName>
    <definedName name="data5" localSheetId="1">#REF!</definedName>
    <definedName name="data5" localSheetId="0">#REF!</definedName>
    <definedName name="data5">#REF!</definedName>
    <definedName name="data6" localSheetId="1">#REF!</definedName>
    <definedName name="data6" localSheetId="0">#REF!</definedName>
    <definedName name="data6">#REF!</definedName>
    <definedName name="data7" localSheetId="1">#REF!</definedName>
    <definedName name="data7" localSheetId="0">#REF!</definedName>
    <definedName name="data7">#REF!</definedName>
    <definedName name="_xlnm.Database" localSheetId="1">#REF!</definedName>
    <definedName name="_xlnm.Database" localSheetId="0">#REF!</definedName>
    <definedName name="_xlnm.Database">#REF!</definedName>
    <definedName name="dfds">#REF!</definedName>
    <definedName name="dflt1">[1]自訂貸款管理表!$G$19</definedName>
    <definedName name="display_area_1">[1]自訂貸款管理表!$C$3:$J$32</definedName>
    <definedName name="display_area_2" localSheetId="1">#REF!</definedName>
    <definedName name="display_area_2" localSheetId="0">#REF!</definedName>
    <definedName name="display_area_2">#REF!</definedName>
    <definedName name="display_area_3" localSheetId="1">#REF!</definedName>
    <definedName name="display_area_3" localSheetId="0">#REF!</definedName>
    <definedName name="display_area_3">#REF!</definedName>
    <definedName name="display_area_4" localSheetId="1">#REF!</definedName>
    <definedName name="display_area_4" localSheetId="0">#REF!</definedName>
    <definedName name="display_area_4">#REF!</definedName>
    <definedName name="DSP" localSheetId="1">#REF!</definedName>
    <definedName name="DSP" localSheetId="0">#REF!</definedName>
    <definedName name="DSP">#REF!</definedName>
    <definedName name="DSPIMO" localSheetId="1">#REF!</definedName>
    <definedName name="DSPIMO" localSheetId="0">#REF!</definedName>
    <definedName name="DSPIMO">#REF!</definedName>
    <definedName name="DSPMO" localSheetId="1">#REF!</definedName>
    <definedName name="DSPMO" localSheetId="0">#REF!</definedName>
    <definedName name="DSPMO">#REF!</definedName>
    <definedName name="DSPTLMO" localSheetId="1">#REF!</definedName>
    <definedName name="DSPTLMO" localSheetId="0">#REF!</definedName>
    <definedName name="DSPTLMO">#REF!</definedName>
    <definedName name="DTS" localSheetId="1">#REF!</definedName>
    <definedName name="DTS" localSheetId="0">#REF!</definedName>
    <definedName name="DTS">#REF!</definedName>
    <definedName name="End_Bal">[4]貸款分期償還計畫表!$I$18:$I$497</definedName>
    <definedName name="ENG" localSheetId="1">#REF!</definedName>
    <definedName name="ENG" localSheetId="0">#REF!</definedName>
    <definedName name="ENG">#REF!</definedName>
    <definedName name="Eng中山廠" localSheetId="1">#REF!</definedName>
    <definedName name="Eng中山廠" localSheetId="0">#REF!</definedName>
    <definedName name="Eng中山廠">#REF!</definedName>
    <definedName name="Entered_Pmt" localSheetId="1">#REF!</definedName>
    <definedName name="Entered_Pmt" localSheetId="0">#REF!</definedName>
    <definedName name="Entered_Pmt">#REF!</definedName>
    <definedName name="Extra_Pay">[4]貸款分期償還計畫表!$E$18:$E$497</definedName>
    <definedName name="FilmComposer_4_0">[2]Tables!$B$10</definedName>
    <definedName name="FilmComposer_4_2D">[2]Tables!$B$11</definedName>
    <definedName name="Filmcutter_2_0">[2]Tables!$B$29</definedName>
    <definedName name="Full_Print">[4]貸款分期償還計畫表!$A$1:$J$497</definedName>
    <definedName name="GoAssetChart">[0]!GoAssetChart</definedName>
    <definedName name="GoBack">[0]!GoBack</definedName>
    <definedName name="GoBalanceSheet">[0]!GoBalanceSheet</definedName>
    <definedName name="GoCashFlow">[0]!GoCashFlow</definedName>
    <definedName name="GoData">[0]!GoData</definedName>
    <definedName name="GoIncomeChart">[0]!GoIncomeChart</definedName>
    <definedName name="Header_Area" localSheetId="1">#REF!</definedName>
    <definedName name="Header_Area" localSheetId="0">#REF!</definedName>
    <definedName name="Header_Area">#REF!</definedName>
    <definedName name="Header_Row">ROW([4]貸款分期償還計畫表!$17:$17)</definedName>
    <definedName name="HTML_CodePage" hidden="1">1252</definedName>
    <definedName name="HTML_Control" hidden="1">{"'Mnt Price List'!$A$1:$H$65"}</definedName>
    <definedName name="HTML_Description" hidden="1">""</definedName>
    <definedName name="HTML_Email" hidden="1">""</definedName>
    <definedName name="HTML_Header" hidden="1">"MC and FC pricing"</definedName>
    <definedName name="HTML_LastUpdate" hidden="1">"8/17/99"</definedName>
    <definedName name="HTML_LineAfter" hidden="1">FALSE</definedName>
    <definedName name="HTML_LineBefore" hidden="1">FALSE</definedName>
    <definedName name="HTML_Name" hidden="1">"cbarrett"</definedName>
    <definedName name="HTML_OBDlg2" hidden="1">TRUE</definedName>
    <definedName name="HTML_OBDlg4" hidden="1">TRUE</definedName>
    <definedName name="HTML_OS" hidden="1">0</definedName>
    <definedName name="HTML_PathFile" hidden="1">"E:\WINNT400\Profiles\cbarrett.000\Desktop\Cathy's Folder\PRICEBOOKS\MNT.htm"</definedName>
    <definedName name="HTML_Title" hidden="1">"MC US August 1999 Ver1"</definedName>
    <definedName name="Int">[4]貸款分期償還計畫表!$H$18:$H$497</definedName>
    <definedName name="Interest_Rate">[4]貸款分期償還計畫表!$D$6</definedName>
    <definedName name="INV" localSheetId="1">#REF!</definedName>
    <definedName name="INV" localSheetId="0">#REF!</definedName>
    <definedName name="INV">#REF!</definedName>
    <definedName name="Kitprice">[2]Tables!$B$3:$B$32</definedName>
    <definedName name="Last_Row">IF(Values_Entered,Header_Row+Number_of_Payments,Header_Row)</definedName>
    <definedName name="lo" localSheetId="1">[5]Master!#REF!</definedName>
    <definedName name="lo" localSheetId="0">[5]Master!#REF!</definedName>
    <definedName name="lo">[5]Master!#REF!</definedName>
    <definedName name="Loan_Amount">[4]貸款分期償還計畫表!$D$5</definedName>
    <definedName name="Loan_Start">[4]貸款分期償還計畫表!$D$9</definedName>
    <definedName name="Loan_Years">[4]貸款分期償還計畫表!$D$7</definedName>
    <definedName name="LoanTable" localSheetId="1">#REF!</definedName>
    <definedName name="LoanTable" localSheetId="0">#REF!</definedName>
    <definedName name="LoanTable">#REF!</definedName>
    <definedName name="LOC">#N/A</definedName>
    <definedName name="LTR">[1]自訂貸款管理表!$G$24</definedName>
    <definedName name="MA" localSheetId="1">#REF!</definedName>
    <definedName name="MA" localSheetId="0">#REF!</definedName>
    <definedName name="MA">#REF!</definedName>
    <definedName name="maint_disc" localSheetId="1">#REF!</definedName>
    <definedName name="maint_disc" localSheetId="0">#REF!</definedName>
    <definedName name="maint_disc">#REF!</definedName>
    <definedName name="MC1000_2_2D">[2]Tables!$B$19</definedName>
    <definedName name="MC1000_2_3D">[2]Tables!$B$21</definedName>
    <definedName name="MC1000_4_2D">[2]Tables!$B$20</definedName>
    <definedName name="MC1000_4_3D">[2]Tables!$B$22</definedName>
    <definedName name="MC4000_4_2D">[2]Tables!$B$23</definedName>
    <definedName name="MC4000_4_3D">[2]Tables!$B$24</definedName>
    <definedName name="MC400S" localSheetId="1">#REF!</definedName>
    <definedName name="MC400S" localSheetId="0">#REF!</definedName>
    <definedName name="MC400S">#REF!</definedName>
    <definedName name="MC400S_2_0">[2]Tables!$B$4</definedName>
    <definedName name="MC400S_4_0">[2]Tables!$B$5</definedName>
    <definedName name="MC800_2_0">[2]Tables!$B$6</definedName>
    <definedName name="MC800_4_0">[2]Tables!$B$7</definedName>
    <definedName name="MC8000_4_2D">[2]Tables!$B$25</definedName>
    <definedName name="MC8000_4_3D">[2]Tables!$B$26</definedName>
    <definedName name="MC900_2_0">[2]Tables!$B$17</definedName>
    <definedName name="MC900_4_0">[2]Tables!$B$18</definedName>
    <definedName name="MCOffline_2_0">[2]Tables!$B$8</definedName>
    <definedName name="MCOffline_4_0">[2]Tables!$B$9</definedName>
    <definedName name="MCXMac_2_0">[2]Tables!$B$13</definedName>
    <definedName name="MCXPro_2_0">[2]Tables!$B$14</definedName>
    <definedName name="MCXRT_2_0">[2]Tables!$B$15</definedName>
    <definedName name="MCXRT_2_3D">[2]Tables!$B$16</definedName>
    <definedName name="MedStation">[2]Tables!$B$30</definedName>
    <definedName name="minupg">[2]Tables!$B$33</definedName>
    <definedName name="MRT">[2]Tables!$B$28</definedName>
    <definedName name="MSPmac_2_0">[2]Tables!$B$12</definedName>
    <definedName name="NOMO" localSheetId="1">#REF!</definedName>
    <definedName name="NOMO" localSheetId="0">#REF!</definedName>
    <definedName name="NOMO">#REF!</definedName>
    <definedName name="NS" localSheetId="1">#REF!</definedName>
    <definedName name="NS" localSheetId="0">#REF!</definedName>
    <definedName name="NS">#REF!</definedName>
    <definedName name="Num_Pmt_Per_Year">[4]貸款分期償還計畫表!$D$8</definedName>
    <definedName name="Number_of_Payments">MATCH(0.01,End_Bal,-1)+1</definedName>
    <definedName name="NUMCHECK" localSheetId="1">AND(ISNUMBER(#REF!),ISNUMBER(#REF!),ISNUMBER(#REF!),ISNUMBER(#REF!))</definedName>
    <definedName name="NUMCHECK" localSheetId="0">AND(ISNUMBER(#REF!),ISNUMBER(#REF!),ISNUMBER(#REF!),ISNUMBER(#REF!))</definedName>
    <definedName name="NUMCHECK">AND(ISNUMBER(#REF!),ISNUMBER(#REF!),ISNUMBER(#REF!),ISNUMBER(#REF!))</definedName>
    <definedName name="NUMENTRIES" localSheetId="1">#REF!</definedName>
    <definedName name="NUMENTRIES" localSheetId="0">#REF!</definedName>
    <definedName name="NUMENTRIES">#REF!</definedName>
    <definedName name="parts">'[6]Parts &amp; Prices'!$A$1:$J$2968</definedName>
    <definedName name="Pay_Num">[4]貸款分期償還計畫表!$A$18:$A$497</definedName>
    <definedName name="Payment_Date" localSheetId="1">DATE(YEAR([0]!Loan_Start),MONTH([0]!Loan_Start)+Payment_Number,DAY([0]!Loan_Start))</definedName>
    <definedName name="Payment_Date" localSheetId="0">DATE(YEAR([0]!Loan_Start),MONTH([0]!Loan_Start)+Payment_Number,DAY([0]!Loan_Start))</definedName>
    <definedName name="Payment_Date">DATE(YEAR(Loan_Start),MONTH(Loan_Start)+Payment_Number,DAY(Loan_Start))</definedName>
    <definedName name="PERYR" localSheetId="1">#REF!</definedName>
    <definedName name="PERYR" localSheetId="0">#REF!</definedName>
    <definedName name="PERYR">#REF!</definedName>
    <definedName name="pmnt" localSheetId="1">#REF!</definedName>
    <definedName name="pmnt" localSheetId="0">#REF!</definedName>
    <definedName name="pmnt">#REF!</definedName>
    <definedName name="Princ">[4]貸款分期償還計畫表!$G$18:$G$497</definedName>
    <definedName name="Principal" localSheetId="1">#REF!</definedName>
    <definedName name="Principal" localSheetId="0">#REF!</definedName>
    <definedName name="Principal">#REF!</definedName>
    <definedName name="_xlnm.Print_Area" localSheetId="1">'PNL (C)'!$A$1:$H$106</definedName>
    <definedName name="_xlnm.Print_Area" localSheetId="0">'報價單 '!$A$1:$K$46</definedName>
    <definedName name="Print_Area_Reset">OFFSET(Full_Print,0,0,Last_Row)</definedName>
    <definedName name="RefreshArea" localSheetId="1">#REF!</definedName>
    <definedName name="RefreshArea" localSheetId="0">#REF!</definedName>
    <definedName name="RefreshArea">#REF!</definedName>
    <definedName name="reseller_support" localSheetId="1">#REF!</definedName>
    <definedName name="reseller_support" localSheetId="0">#REF!</definedName>
    <definedName name="reseller_support">#REF!</definedName>
    <definedName name="Sched_Pay">[4]貸款分期償還計畫表!$D$18:$D$497</definedName>
    <definedName name="Scheduled_Extra_Payments">[4]貸款分期償還計畫表!$D$10</definedName>
    <definedName name="Scheduled_Monthly_Payment">[4]貸款分期償還計畫表!$J$5</definedName>
    <definedName name="SS" localSheetId="1">#REF!</definedName>
    <definedName name="SS" localSheetId="0">#REF!</definedName>
    <definedName name="SS">#REF!</definedName>
    <definedName name="test" localSheetId="1">'[7]Master Parts and Descriptions'!#REF!</definedName>
    <definedName name="test" localSheetId="0">'[7]Master Parts and Descriptions'!#REF!</definedName>
    <definedName name="test">'[7]Master Parts and Descriptions'!#REF!</definedName>
    <definedName name="test1" localSheetId="1">#REF!</definedName>
    <definedName name="test1" localSheetId="0">#REF!</definedName>
    <definedName name="test1">#REF!</definedName>
    <definedName name="TOT" localSheetId="1">#REF!</definedName>
    <definedName name="TOT" localSheetId="0">#REF!</definedName>
    <definedName name="TOT">#REF!</definedName>
    <definedName name="Total_Pay">[4]貸款分期償還計畫表!$F$18:$F$497</definedName>
    <definedName name="Values_Entered">IF(Loan_Amount*Interest_Rate*Loan_Years*Loan_Start&gt;0,1,0)</definedName>
    <definedName name="vital1">[1]自訂貸款管理表!$F$12</definedName>
    <definedName name="vital2">[1]自訂貸款管理表!$F$13</definedName>
    <definedName name="vital4">[1]自訂貸款管理表!$F$14</definedName>
    <definedName name="vital5" localSheetId="1">[1]自訂貸款管理表!#REF!</definedName>
    <definedName name="vital5" localSheetId="0">[1]自訂貸款管理表!#REF!</definedName>
    <definedName name="vital5">[1]自訂貸款管理表!#REF!</definedName>
    <definedName name="vital6" localSheetId="1">[1]自訂貸款管理表!#REF!</definedName>
    <definedName name="vital6" localSheetId="0">[1]自訂貸款管理表!#REF!</definedName>
    <definedName name="vital6">[1]自訂貸款管理表!#REF!</definedName>
    <definedName name="vital8">[1]自訂貸款管理表!$H$12</definedName>
    <definedName name="vital9">[1]自訂貸款管理表!$H$13</definedName>
    <definedName name="warn1" localSheetId="1">#REF!</definedName>
    <definedName name="warn1" localSheetId="0">#REF!</definedName>
    <definedName name="warn1">#REF!</definedName>
    <definedName name="warn2" localSheetId="1">#REF!</definedName>
    <definedName name="warn2" localSheetId="0">#REF!</definedName>
    <definedName name="warn2">#REF!</definedName>
    <definedName name="x" localSheetId="1">#REF!</definedName>
    <definedName name="x" localSheetId="0">#REF!</definedName>
    <definedName name="x">#REF!</definedName>
    <definedName name="xxxx_xxxxx_02" localSheetId="1">'[2]Master Parts and Descriptions'!#REF!</definedName>
    <definedName name="xxxx_xxxxx_02" localSheetId="0">'[2]Master Parts and Descriptions'!#REF!</definedName>
    <definedName name="xxxx_xxxxx_02">'[2]Master Parts and Descriptions'!#REF!</definedName>
    <definedName name="xxxx_xxxxx_03" localSheetId="1">'[2]Master Parts and Descriptions'!#REF!</definedName>
    <definedName name="xxxx_xxxxx_03" localSheetId="0">'[2]Master Parts and Descriptions'!#REF!</definedName>
    <definedName name="xxxx_xxxxx_03">'[2]Master Parts and Descriptions'!#REF!</definedName>
    <definedName name="xxxx_xxxxx_04" localSheetId="1">'[2]Master Parts and Descriptions'!#REF!</definedName>
    <definedName name="xxxx_xxxxx_04" localSheetId="0">'[2]Master Parts and Descriptions'!#REF!</definedName>
    <definedName name="xxxx_xxxxx_04">'[2]Master Parts and Descriptions'!#REF!</definedName>
    <definedName name="y" localSheetId="1">#REF!</definedName>
    <definedName name="y" localSheetId="0">#REF!</definedName>
    <definedName name="y">#REF!</definedName>
  </definedNames>
  <calcPr calcId="191029" concurrentManualCount="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83" l="1"/>
  <c r="H39" i="78"/>
  <c r="F17" i="78"/>
  <c r="H17" i="78"/>
  <c r="H38" i="78"/>
  <c r="H29" i="78"/>
  <c r="H66" i="78"/>
  <c r="H61" i="78"/>
  <c r="D24" i="78"/>
  <c r="H24" i="78"/>
  <c r="H22" i="78"/>
  <c r="D102" i="78"/>
  <c r="D104" i="78" s="1"/>
  <c r="D105" i="78" s="1"/>
  <c r="D29" i="78"/>
  <c r="H26" i="78"/>
  <c r="E102" i="78"/>
  <c r="H34" i="78"/>
  <c r="H31" i="78"/>
  <c r="F102" i="78"/>
  <c r="H42" i="78"/>
  <c r="H43" i="78"/>
  <c r="H44" i="78"/>
  <c r="H49" i="78" s="1"/>
  <c r="H45" i="78"/>
  <c r="H46" i="78"/>
  <c r="H47" i="78"/>
  <c r="H48" i="78"/>
  <c r="F49" i="78"/>
  <c r="E103" i="78"/>
  <c r="E104" i="78" s="1"/>
  <c r="E105" i="78" s="1"/>
  <c r="H70" i="78"/>
  <c r="H79" i="78" s="1"/>
  <c r="H71" i="78"/>
  <c r="H72" i="78"/>
  <c r="H73" i="78"/>
  <c r="H74" i="78"/>
  <c r="H75" i="78"/>
  <c r="H76" i="78"/>
  <c r="D103" i="78"/>
  <c r="F41" i="78"/>
  <c r="F51" i="78"/>
  <c r="H85" i="78"/>
  <c r="H41" i="78" l="1"/>
  <c r="H51" i="78"/>
  <c r="C103" i="78" s="1"/>
  <c r="J20" i="83"/>
  <c r="J22" i="83" s="1"/>
  <c r="J23" i="83" s="1"/>
  <c r="H19" i="78"/>
  <c r="H14" i="78" s="1"/>
  <c r="C102" i="78" s="1"/>
  <c r="G89" i="78" l="1"/>
  <c r="H89" i="78" s="1"/>
  <c r="H90" i="78" s="1"/>
  <c r="F103" i="78" s="1"/>
  <c r="F104" i="78" s="1"/>
  <c r="F105" i="78" s="1"/>
  <c r="H35" i="78"/>
  <c r="G103" i="78"/>
  <c r="H13" i="78"/>
  <c r="C104" i="78"/>
  <c r="C105" i="78" s="1"/>
  <c r="G102" i="78"/>
  <c r="H92" i="78" l="1"/>
  <c r="H93" i="78" s="1"/>
  <c r="H102" i="78"/>
  <c r="G104" i="78"/>
  <c r="G105" i="7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王素琴</author>
  </authors>
  <commentList>
    <comment ref="B15" authorId="0" shapeId="0" xr:uid="{00000000-0006-0000-0100-000001000000}">
      <text>
        <r>
          <rPr>
            <b/>
            <sz val="10"/>
            <color indexed="10"/>
            <rFont val="標楷體"/>
            <family val="4"/>
            <charset val="136"/>
          </rPr>
          <t>Joey:
依報價單或合約的請款階段填入</t>
        </r>
      </text>
    </comment>
    <comment ref="A37" authorId="0" shapeId="0" xr:uid="{00000000-0006-0000-0100-000002000000}">
      <text>
        <r>
          <rPr>
            <b/>
            <sz val="10"/>
            <color indexed="10"/>
            <rFont val="標楷體"/>
            <family val="4"/>
            <charset val="136"/>
          </rPr>
          <t>Joey:</t>
        </r>
        <r>
          <rPr>
            <sz val="10"/>
            <color indexed="10"/>
            <rFont val="標楷體"/>
            <family val="4"/>
            <charset val="136"/>
          </rPr>
          <t xml:space="preserve">
服務的項目可自行依專案屬性不同填入不同的名稱</t>
        </r>
      </text>
    </comment>
  </commentList>
</comments>
</file>

<file path=xl/sharedStrings.xml><?xml version="1.0" encoding="utf-8"?>
<sst xmlns="http://schemas.openxmlformats.org/spreadsheetml/2006/main" count="172" uniqueCount="143">
  <si>
    <t xml:space="preserve">   </t>
  </si>
  <si>
    <t xml:space="preserve">  </t>
  </si>
  <si>
    <t>Remarks ：</t>
  </si>
  <si>
    <t>Creation of New Order</t>
  </si>
  <si>
    <t>Change of Existing Order</t>
  </si>
  <si>
    <t>Requested by:</t>
  </si>
  <si>
    <t>Request Date:</t>
  </si>
  <si>
    <t>Customer Name:</t>
  </si>
  <si>
    <t>Customer Number:</t>
  </si>
  <si>
    <t>Project Manager (PM):</t>
  </si>
  <si>
    <t>Cust. Contact Person:</t>
  </si>
  <si>
    <t>Profit Center Manager (PCM):</t>
  </si>
  <si>
    <t>Profit Center No.:</t>
  </si>
  <si>
    <t>Project Name:</t>
  </si>
  <si>
    <t>Project Start Date:</t>
  </si>
  <si>
    <t>Project End Date:</t>
  </si>
  <si>
    <t>x</t>
  </si>
  <si>
    <t>Date</t>
  </si>
  <si>
    <t/>
  </si>
  <si>
    <t>內容</t>
  </si>
  <si>
    <t xml:space="preserve">請簽回以確認訂單  </t>
  </si>
  <si>
    <t xml:space="preserve"> Planned Billing Dates </t>
  </si>
  <si>
    <t xml:space="preserve">  Amount    </t>
  </si>
  <si>
    <t>Total Revenues--(1)</t>
  </si>
  <si>
    <t>毛利%</t>
    <phoneticPr fontId="9" type="noConversion"/>
  </si>
  <si>
    <t>毛利</t>
    <phoneticPr fontId="9" type="noConversion"/>
  </si>
  <si>
    <t>成本</t>
    <phoneticPr fontId="9" type="noConversion"/>
  </si>
  <si>
    <t>收入</t>
    <phoneticPr fontId="9" type="noConversion"/>
  </si>
  <si>
    <t>QC</t>
    <phoneticPr fontId="9" type="noConversion"/>
  </si>
  <si>
    <t>合計</t>
    <phoneticPr fontId="9" type="noConversion"/>
  </si>
  <si>
    <t>其他</t>
    <phoneticPr fontId="9" type="noConversion"/>
  </si>
  <si>
    <t>硬體</t>
    <phoneticPr fontId="9" type="noConversion"/>
  </si>
  <si>
    <t>軟體</t>
    <phoneticPr fontId="9" type="noConversion"/>
  </si>
  <si>
    <t>顧問服務</t>
    <phoneticPr fontId="9" type="noConversion"/>
  </si>
  <si>
    <t>項目</t>
    <phoneticPr fontId="9" type="noConversion"/>
  </si>
  <si>
    <t xml:space="preserve">Sales </t>
    <phoneticPr fontId="9" type="noConversion"/>
  </si>
  <si>
    <t xml:space="preserve">     Account </t>
    <phoneticPr fontId="9" type="noConversion"/>
  </si>
  <si>
    <t>Consultant Director</t>
    <phoneticPr fontId="9" type="noConversion"/>
  </si>
  <si>
    <t xml:space="preserve">       x</t>
    <phoneticPr fontId="9" type="noConversion"/>
  </si>
  <si>
    <t>Manager</t>
    <phoneticPr fontId="9" type="noConversion"/>
  </si>
  <si>
    <t xml:space="preserve">     Sales </t>
    <phoneticPr fontId="9" type="noConversion"/>
  </si>
  <si>
    <t>Sales Director</t>
    <phoneticPr fontId="9" type="noConversion"/>
  </si>
  <si>
    <t>Total Profit/Loss -- Planned</t>
    <phoneticPr fontId="9" type="noConversion"/>
  </si>
  <si>
    <t>Total Profitability Margin -- Planned</t>
    <phoneticPr fontId="9" type="noConversion"/>
  </si>
  <si>
    <t>Total Cost--(6)</t>
    <phoneticPr fontId="9" type="noConversion"/>
  </si>
  <si>
    <r>
      <t>(</t>
    </r>
    <r>
      <rPr>
        <sz val="11"/>
        <color indexed="10"/>
        <rFont val="微軟正黑體"/>
        <family val="2"/>
        <charset val="136"/>
      </rPr>
      <t>建議預估可用顧問服務總金額的→低-5%，中-10%，高-15%)</t>
    </r>
    <phoneticPr fontId="9" type="noConversion"/>
  </si>
  <si>
    <t>Low</t>
    <phoneticPr fontId="9" type="noConversion"/>
  </si>
  <si>
    <t>Contingency</t>
    <phoneticPr fontId="9" type="noConversion"/>
  </si>
  <si>
    <t>風險係數</t>
    <phoneticPr fontId="9" type="noConversion"/>
  </si>
  <si>
    <t>Project Risk leve</t>
    <phoneticPr fontId="9" type="noConversion"/>
  </si>
  <si>
    <t>6.Contingency</t>
    <phoneticPr fontId="9" type="noConversion"/>
  </si>
  <si>
    <t>Total Cost--(5)</t>
    <phoneticPr fontId="9" type="noConversion"/>
  </si>
  <si>
    <t>單     價</t>
    <phoneticPr fontId="9" type="noConversion"/>
  </si>
  <si>
    <t>數量/次數</t>
    <phoneticPr fontId="9" type="noConversion"/>
  </si>
  <si>
    <t>說            明</t>
    <phoneticPr fontId="9" type="noConversion"/>
  </si>
  <si>
    <t>項         目</t>
    <phoneticPr fontId="9" type="noConversion"/>
  </si>
  <si>
    <t>5.Other Expenses (其他費用)</t>
    <phoneticPr fontId="9" type="noConversion"/>
  </si>
  <si>
    <t>Total Cost--(4)</t>
    <phoneticPr fontId="9" type="noConversion"/>
  </si>
  <si>
    <t>4)xxx</t>
    <phoneticPr fontId="9" type="noConversion"/>
  </si>
  <si>
    <r>
      <t>ex:</t>
    </r>
    <r>
      <rPr>
        <sz val="12"/>
        <color indexed="62"/>
        <rFont val="微軟正黑體"/>
        <family val="2"/>
        <charset val="136"/>
      </rPr>
      <t>每1人天3000元,共5人,1個月</t>
    </r>
    <phoneticPr fontId="9" type="noConversion"/>
  </si>
  <si>
    <t>→住宿費用</t>
    <phoneticPr fontId="9" type="noConversion"/>
  </si>
  <si>
    <r>
      <t>3)</t>
    </r>
    <r>
      <rPr>
        <sz val="12"/>
        <color indexed="62"/>
        <rFont val="微軟正黑體"/>
        <family val="2"/>
        <charset val="136"/>
      </rPr>
      <t>國外差旅費用</t>
    </r>
    <r>
      <rPr>
        <sz val="8"/>
        <color indexed="53"/>
        <rFont val="Book Antiqua"/>
        <family val="1"/>
      </rPr>
      <t/>
    </r>
    <phoneticPr fontId="9" type="noConversion"/>
  </si>
  <si>
    <r>
      <t>ex:</t>
    </r>
    <r>
      <rPr>
        <sz val="12"/>
        <color indexed="62"/>
        <rFont val="微軟正黑體"/>
        <family val="2"/>
        <charset val="136"/>
      </rPr>
      <t>每1人天1200元,共5人,1個月</t>
    </r>
    <phoneticPr fontId="9" type="noConversion"/>
  </si>
  <si>
    <t>→膳雜費用</t>
    <phoneticPr fontId="9" type="noConversion"/>
  </si>
  <si>
    <r>
      <t>ex:</t>
    </r>
    <r>
      <rPr>
        <sz val="12"/>
        <color indexed="62"/>
        <rFont val="微軟正黑體"/>
        <family val="2"/>
        <charset val="136"/>
      </rPr>
      <t>每1人機票來回機票及稅20000元,5人,1次</t>
    </r>
    <phoneticPr fontId="9" type="noConversion"/>
  </si>
  <si>
    <t>→機票/簽証/機場稅等</t>
    <phoneticPr fontId="9" type="noConversion"/>
  </si>
  <si>
    <r>
      <t>ex:</t>
    </r>
    <r>
      <rPr>
        <sz val="12"/>
        <color indexed="17"/>
        <rFont val="微軟正黑體"/>
        <family val="2"/>
        <charset val="136"/>
      </rPr>
      <t>每1人天1500元,5人,3個月</t>
    </r>
    <phoneticPr fontId="9" type="noConversion"/>
  </si>
  <si>
    <r>
      <t>2)</t>
    </r>
    <r>
      <rPr>
        <sz val="12"/>
        <color indexed="17"/>
        <rFont val="微軟正黑體"/>
        <family val="2"/>
        <charset val="136"/>
      </rPr>
      <t>國內差旅費用</t>
    </r>
    <r>
      <rPr>
        <sz val="8"/>
        <color indexed="53"/>
        <rFont val="Book Antiqua"/>
        <family val="1"/>
      </rPr>
      <t/>
    </r>
    <phoneticPr fontId="9" type="noConversion"/>
  </si>
  <si>
    <r>
      <t>ex:</t>
    </r>
    <r>
      <rPr>
        <sz val="12"/>
        <color indexed="17"/>
        <rFont val="微軟正黑體"/>
        <family val="2"/>
        <charset val="136"/>
      </rPr>
      <t>每1人天600元,5人,3個月</t>
    </r>
    <phoneticPr fontId="9" type="noConversion"/>
  </si>
  <si>
    <r>
      <t>ex:</t>
    </r>
    <r>
      <rPr>
        <sz val="12"/>
        <color indexed="17"/>
        <rFont val="微軟正黑體"/>
        <family val="2"/>
        <charset val="136"/>
      </rPr>
      <t>每1人每週3000元,共5人,12週</t>
    </r>
    <phoneticPr fontId="9" type="noConversion"/>
  </si>
  <si>
    <t>→交通費用</t>
    <phoneticPr fontId="9" type="noConversion"/>
  </si>
  <si>
    <r>
      <t>ex:</t>
    </r>
    <r>
      <rPr>
        <sz val="12"/>
        <color indexed="53"/>
        <rFont val="微軟正黑體"/>
        <family val="2"/>
        <charset val="136"/>
      </rPr>
      <t>每1人天500元,共5人,120天</t>
    </r>
    <phoneticPr fontId="9" type="noConversion"/>
  </si>
  <si>
    <r>
      <t>1)交通費</t>
    </r>
    <r>
      <rPr>
        <sz val="12"/>
        <color indexed="53"/>
        <rFont val="微軟正黑體"/>
        <family val="2"/>
        <charset val="136"/>
      </rPr>
      <t>(當天往返交通費用等)</t>
    </r>
    <phoneticPr fontId="9" type="noConversion"/>
  </si>
  <si>
    <t>4.Travel Expenses (國內/外差旅費用等)</t>
    <phoneticPr fontId="9" type="noConversion"/>
  </si>
  <si>
    <t>Total Cost--(3)</t>
    <phoneticPr fontId="9" type="noConversion"/>
  </si>
  <si>
    <t>供  應  商</t>
    <phoneticPr fontId="9" type="noConversion"/>
  </si>
  <si>
    <t>3.H/W Cost (硬體成本)</t>
    <phoneticPr fontId="9" type="noConversion"/>
  </si>
  <si>
    <t>Total Cost--(2)</t>
    <phoneticPr fontId="9" type="noConversion"/>
  </si>
  <si>
    <t>2.Licnese Cost (軟體成本)</t>
    <phoneticPr fontId="9" type="noConversion"/>
  </si>
  <si>
    <t>Total Cost--(1)</t>
    <phoneticPr fontId="9" type="noConversion"/>
  </si>
  <si>
    <t>Subtotal Cost--(2)</t>
    <phoneticPr fontId="9" type="noConversion"/>
  </si>
  <si>
    <t>Subtotal Cost--(1)</t>
    <phoneticPr fontId="9" type="noConversion"/>
  </si>
  <si>
    <t>Months/Year</t>
    <phoneticPr fontId="9" type="noConversion"/>
  </si>
  <si>
    <t>Base Days</t>
    <phoneticPr fontId="9" type="noConversion"/>
  </si>
  <si>
    <t>人數</t>
    <phoneticPr fontId="69" type="noConversion"/>
  </si>
  <si>
    <t>Rates</t>
    <phoneticPr fontId="9" type="noConversion"/>
  </si>
  <si>
    <t>Free Lancer(委外)</t>
    <phoneticPr fontId="9" type="noConversion"/>
  </si>
  <si>
    <t>Consultant</t>
    <phoneticPr fontId="9" type="noConversion"/>
  </si>
  <si>
    <t>Consultant Role</t>
    <phoneticPr fontId="9" type="noConversion"/>
  </si>
  <si>
    <t>1.Consultant Cost(顧問服務成本)</t>
    <phoneticPr fontId="9" type="noConversion"/>
  </si>
  <si>
    <t>Planned Costs (專案成本)→( Cost 1+2+3+4+5+6 )</t>
    <phoneticPr fontId="9" type="noConversion"/>
  </si>
  <si>
    <t>Total Revenues--(4)</t>
    <phoneticPr fontId="9" type="noConversion"/>
  </si>
  <si>
    <t>←請其他收入金額</t>
    <phoneticPr fontId="9" type="noConversion"/>
  </si>
  <si>
    <t>4.Other Revenues(其他收入)</t>
    <phoneticPr fontId="9" type="noConversion"/>
  </si>
  <si>
    <t>Total Revenues--(3)</t>
    <phoneticPr fontId="9" type="noConversion"/>
  </si>
  <si>
    <t>←請填硬體收入金額</t>
    <phoneticPr fontId="9" type="noConversion"/>
  </si>
  <si>
    <t>3.H/W Revenues(硬體收入)</t>
    <phoneticPr fontId="9" type="noConversion"/>
  </si>
  <si>
    <t>Total Revenues--(2)</t>
    <phoneticPr fontId="9" type="noConversion"/>
  </si>
  <si>
    <t>←請填軟體收入金額</t>
    <phoneticPr fontId="9" type="noConversion"/>
  </si>
  <si>
    <t>2.Licnese Revenues(軟體收入)</t>
    <phoneticPr fontId="9" type="noConversion"/>
  </si>
  <si>
    <t>←請填入顧問收入總金額</t>
    <phoneticPr fontId="9" type="noConversion"/>
  </si>
  <si>
    <t>1.Consultant Revenues(顧問服務收入)</t>
    <phoneticPr fontId="9" type="noConversion"/>
  </si>
  <si>
    <t>Planned Revenues ( 專案收入金額)→(Revenues 1+2+3+4 )</t>
    <phoneticPr fontId="9" type="noConversion"/>
  </si>
  <si>
    <t xml:space="preserve"> </t>
    <phoneticPr fontId="9" type="noConversion"/>
  </si>
  <si>
    <t>Project No.:</t>
    <phoneticPr fontId="9" type="noConversion"/>
  </si>
  <si>
    <t>Profitability Calculation Worksheet for Implementation</t>
    <phoneticPr fontId="9" type="noConversion"/>
  </si>
  <si>
    <t>ITTS Corp.</t>
    <phoneticPr fontId="11" type="noConversion"/>
  </si>
  <si>
    <t>Prepared by :</t>
    <phoneticPr fontId="11" type="noConversion"/>
  </si>
  <si>
    <t xml:space="preserve">Customer Confirme by: </t>
    <phoneticPr fontId="11" type="noConversion"/>
  </si>
  <si>
    <t>專案號碼：</t>
    <phoneticPr fontId="10" type="noConversion"/>
  </si>
  <si>
    <t>專案優惠金額(未稅)</t>
    <phoneticPr fontId="10" type="noConversion"/>
  </si>
  <si>
    <t>單位</t>
    <phoneticPr fontId="10" type="noConversion"/>
  </si>
  <si>
    <t>數量</t>
    <phoneticPr fontId="10" type="noConversion"/>
  </si>
  <si>
    <t>項目</t>
    <phoneticPr fontId="12" type="noConversion"/>
  </si>
  <si>
    <t>幣別：TWD</t>
    <phoneticPr fontId="10" type="noConversion"/>
  </si>
  <si>
    <t>稅金5%</t>
    <phoneticPr fontId="10" type="noConversion"/>
  </si>
  <si>
    <t>稅金</t>
    <phoneticPr fontId="10" type="noConversion"/>
  </si>
  <si>
    <t>以下空白</t>
    <phoneticPr fontId="10" type="noConversion"/>
  </si>
  <si>
    <t>人天</t>
    <phoneticPr fontId="9" type="noConversion"/>
  </si>
  <si>
    <t>1</t>
    <phoneticPr fontId="10" type="noConversion"/>
  </si>
  <si>
    <t>定價(未稅)</t>
    <phoneticPr fontId="10" type="noConversion"/>
  </si>
  <si>
    <t>優惠價(未稅)</t>
    <phoneticPr fontId="10" type="noConversion"/>
  </si>
  <si>
    <t>小計(未稅)</t>
    <phoneticPr fontId="10" type="noConversion"/>
  </si>
  <si>
    <t>專案優惠價(未稅)</t>
    <phoneticPr fontId="10" type="noConversion"/>
  </si>
  <si>
    <t>專案優惠價(含稅)</t>
    <phoneticPr fontId="10" type="noConversion"/>
  </si>
  <si>
    <t>1.以上報價為東捷所提供之特惠價，基於誠信原則，本報價單相關條款合約及價格雙方均不得向第三者揭露。</t>
    <phoneticPr fontId="10" type="noConversion"/>
  </si>
  <si>
    <t>專案定價（未稅）</t>
    <phoneticPr fontId="10" type="noConversion"/>
  </si>
  <si>
    <t>Steven Lee</t>
    <phoneticPr fontId="10" type="noConversion"/>
  </si>
  <si>
    <t>3.付款方式：簽約完成後付款總金額 100%，月結30天付款。</t>
    <phoneticPr fontId="10" type="noConversion"/>
  </si>
  <si>
    <t>5.本報價單經簽名回傳視同為正式有效之合約。</t>
    <phoneticPr fontId="10" type="noConversion"/>
  </si>
  <si>
    <t>6.本報價單需加蓋東捷資訊服務(股)公司之"報價專用章"使為有效之正式報價單。</t>
    <phoneticPr fontId="10" type="noConversion"/>
  </si>
  <si>
    <t>2.ABAP客製開發人天，每人天12,000元（未稅）計價</t>
    <phoneticPr fontId="10" type="noConversion"/>
  </si>
  <si>
    <t>表單編號：QU-</t>
    <phoneticPr fontId="10" type="noConversion"/>
  </si>
  <si>
    <t>debbie</t>
    <phoneticPr fontId="10" type="noConversion"/>
  </si>
  <si>
    <r>
      <t xml:space="preserve">電    話： </t>
    </r>
    <r>
      <rPr>
        <sz val="12"/>
        <color theme="1"/>
        <rFont val="Microsoft YaHei"/>
        <family val="2"/>
        <charset val="134"/>
      </rPr>
      <t xml:space="preserve">                         </t>
    </r>
    <r>
      <rPr>
        <sz val="12"/>
        <color theme="1"/>
        <rFont val="微軟正黑體"/>
        <family val="2"/>
        <charset val="136"/>
      </rPr>
      <t>Ext.</t>
    </r>
    <phoneticPr fontId="10" type="noConversion"/>
  </si>
  <si>
    <t>手    機：</t>
    <phoneticPr fontId="10" type="noConversion"/>
  </si>
  <si>
    <t>聯絡人：</t>
    <phoneticPr fontId="10" type="noConversion"/>
  </si>
  <si>
    <t>日    期：</t>
    <phoneticPr fontId="10" type="noConversion"/>
  </si>
  <si>
    <t>公    司：</t>
    <phoneticPr fontId="10" type="noConversion"/>
  </si>
  <si>
    <t>地    址：</t>
    <phoneticPr fontId="10" type="noConversion"/>
  </si>
  <si>
    <t>電    話：</t>
    <phoneticPr fontId="10" type="noConversion"/>
  </si>
  <si>
    <t>專案名稱：</t>
    <phoneticPr fontId="10" type="noConversion"/>
  </si>
  <si>
    <r>
      <t>4.本報價單於XX</t>
    </r>
    <r>
      <rPr>
        <sz val="12"/>
        <color theme="1"/>
        <rFont val="Microsoft YaHei"/>
        <family val="2"/>
        <charset val="134"/>
      </rPr>
      <t>XX</t>
    </r>
    <r>
      <rPr>
        <sz val="12"/>
        <color theme="1"/>
        <rFont val="微軟正黑體"/>
        <family val="2"/>
        <charset val="136"/>
      </rPr>
      <t>年XX月XX日前有效。</t>
    </r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</si>
</sst>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43" formatCode="_-* #,##0.00_-;\-* #,##0.00_-;_-* &quot;-&quot;??_-;_-@_-"/>
    <numFmt numFmtId="176" formatCode="_-* #,##0_-;\-* #,##0_-;_-* &quot;-&quot;??_-;_-@_-"/>
    <numFmt numFmtId="177" formatCode="&quot;NT$&quot;#,##0_);[Red]\(&quot;NT$&quot;#,##0\)"/>
    <numFmt numFmtId="178" formatCode="_-&quot;\&quot;* #,##0.00_-;\-&quot;\&quot;* #,##0.00_-;_-&quot;\&quot;* &quot;-&quot;??_-;_-@_-"/>
    <numFmt numFmtId="179" formatCode="&quot;NT$&quot;#,##0"/>
    <numFmt numFmtId="180" formatCode="#,##0.00_ ;[Red]\-#,##0.00\ "/>
    <numFmt numFmtId="181" formatCode="_-&quot;\&quot;* #,##0_-;\-&quot;\&quot;* #,##0_-;_-&quot;\&quot;* &quot;-&quot;_-;_-@_-"/>
    <numFmt numFmtId="182" formatCode="&quot;NT$&quot;#,##0.00"/>
    <numFmt numFmtId="183" formatCode="#,##0_);[Red]\(#,##0\)"/>
    <numFmt numFmtId="184" formatCode="#,##0.00_);[Red]\(#,##0.00\)"/>
    <numFmt numFmtId="185" formatCode="#,##0_ ;[Red]\-#,##0\ "/>
    <numFmt numFmtId="186" formatCode="&quot;$&quot;#,##0.00_);[Red]\(&quot;$&quot;#,##0.00\)"/>
    <numFmt numFmtId="187" formatCode="#,##0_ "/>
    <numFmt numFmtId="188" formatCode="_(&quot;$&quot;* #,##0_);_(&quot;$&quot;* \(#,##0\);_(&quot;$&quot;* &quot;-&quot;??_);_(@_)"/>
    <numFmt numFmtId="189" formatCode="_(&quot;$&quot;* #,##0.00_);_(&quot;$&quot;* \(#,##0.00\);_(&quot;$&quot;* &quot;-&quot;??_);_(@_)"/>
    <numFmt numFmtId="190" formatCode="0.0_);[Red]\(0.0\)"/>
    <numFmt numFmtId="191" formatCode="0_);[Red]\(0\)"/>
  </numFmts>
  <fonts count="74">
    <font>
      <sz val="10"/>
      <name val="Arial"/>
      <family val="2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12"/>
      <color indexed="8"/>
      <name val="微軟正黑體"/>
      <family val="2"/>
      <charset val="136"/>
    </font>
    <font>
      <sz val="10"/>
      <name val="Arial"/>
      <family val="2"/>
    </font>
    <font>
      <sz val="9"/>
      <name val="細明體"/>
      <family val="3"/>
      <charset val="136"/>
    </font>
    <font>
      <sz val="9"/>
      <name val="新細明體"/>
      <family val="1"/>
      <charset val="136"/>
    </font>
    <font>
      <sz val="10"/>
      <name val="Times New Roman"/>
      <family val="1"/>
    </font>
    <font>
      <b/>
      <sz val="12"/>
      <color indexed="18"/>
      <name val="微軟正黑體"/>
      <family val="2"/>
      <charset val="136"/>
    </font>
    <font>
      <sz val="11"/>
      <color indexed="12"/>
      <name val="微軟正黑體"/>
      <family val="2"/>
      <charset val="136"/>
    </font>
    <font>
      <sz val="11"/>
      <color indexed="10"/>
      <name val="微軟正黑體"/>
      <family val="2"/>
      <charset val="136"/>
    </font>
    <font>
      <u/>
      <sz val="10"/>
      <color indexed="12"/>
      <name val="Arial"/>
      <family val="2"/>
    </font>
    <font>
      <sz val="8"/>
      <color indexed="53"/>
      <name val="Book Antiqua"/>
      <family val="1"/>
    </font>
    <font>
      <b/>
      <sz val="10"/>
      <color indexed="10"/>
      <name val="標楷體"/>
      <family val="4"/>
      <charset val="136"/>
    </font>
    <font>
      <sz val="10"/>
      <color indexed="10"/>
      <name val="標楷體"/>
      <family val="4"/>
      <charset val="136"/>
    </font>
    <font>
      <sz val="12"/>
      <color theme="1"/>
      <name val="微軟正黑體"/>
      <family val="2"/>
      <charset val="136"/>
    </font>
    <font>
      <sz val="11"/>
      <color theme="1"/>
      <name val="微軟正黑體"/>
      <family val="2"/>
      <charset val="136"/>
    </font>
    <font>
      <b/>
      <sz val="10"/>
      <color theme="1"/>
      <name val="微軟正黑體"/>
      <family val="2"/>
      <charset val="136"/>
    </font>
    <font>
      <sz val="11"/>
      <color theme="1"/>
      <name val="新細明體"/>
      <family val="2"/>
      <scheme val="minor"/>
    </font>
    <font>
      <b/>
      <sz val="11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name val="CFShouSung"/>
      <family val="3"/>
    </font>
    <font>
      <sz val="10"/>
      <name val="Geneva"/>
      <family val="2"/>
    </font>
    <font>
      <sz val="12"/>
      <name val="Times New Roman"/>
      <family val="1"/>
    </font>
    <font>
      <sz val="18"/>
      <color theme="1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8"/>
      <name val="微軟正黑體"/>
      <family val="2"/>
      <charset val="136"/>
    </font>
    <font>
      <b/>
      <sz val="12"/>
      <color indexed="9"/>
      <name val="微軟正黑體"/>
      <family val="2"/>
      <charset val="136"/>
    </font>
    <font>
      <sz val="1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indexed="60"/>
      <name val="微軟正黑體"/>
      <family val="2"/>
      <charset val="136"/>
    </font>
    <font>
      <b/>
      <sz val="11"/>
      <color indexed="20"/>
      <name val="微軟正黑體"/>
      <family val="2"/>
      <charset val="136"/>
    </font>
    <font>
      <b/>
      <sz val="12"/>
      <name val="微軟正黑體"/>
      <family val="2"/>
      <charset val="136"/>
    </font>
    <font>
      <b/>
      <sz val="12"/>
      <color indexed="12"/>
      <name val="微軟正黑體"/>
      <family val="2"/>
      <charset val="136"/>
    </font>
    <font>
      <b/>
      <sz val="12"/>
      <color indexed="14"/>
      <name val="微軟正黑體"/>
      <family val="2"/>
      <charset val="136"/>
    </font>
    <font>
      <sz val="11"/>
      <name val="微軟正黑體"/>
      <family val="2"/>
      <charset val="136"/>
    </font>
    <font>
      <b/>
      <sz val="11"/>
      <color indexed="60"/>
      <name val="微軟正黑體"/>
      <family val="2"/>
      <charset val="136"/>
    </font>
    <font>
      <b/>
      <sz val="11"/>
      <name val="微軟正黑體"/>
      <family val="2"/>
      <charset val="136"/>
    </font>
    <font>
      <b/>
      <u/>
      <sz val="11"/>
      <name val="微軟正黑體"/>
      <family val="2"/>
      <charset val="136"/>
    </font>
    <font>
      <b/>
      <sz val="11"/>
      <color indexed="10"/>
      <name val="微軟正黑體"/>
      <family val="2"/>
      <charset val="136"/>
    </font>
    <font>
      <b/>
      <sz val="11"/>
      <color indexed="9"/>
      <name val="微軟正黑體"/>
      <family val="2"/>
      <charset val="136"/>
    </font>
    <font>
      <b/>
      <sz val="11"/>
      <color rgb="FFFF0000"/>
      <name val="微軟正黑體"/>
      <family val="2"/>
      <charset val="136"/>
    </font>
    <font>
      <sz val="11"/>
      <color indexed="9"/>
      <name val="微軟正黑體"/>
      <family val="2"/>
      <charset val="136"/>
    </font>
    <font>
      <b/>
      <sz val="11"/>
      <color indexed="18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b/>
      <sz val="11"/>
      <color indexed="12"/>
      <name val="微軟正黑體"/>
      <family val="2"/>
      <charset val="136"/>
    </font>
    <font>
      <b/>
      <sz val="11"/>
      <color indexed="62"/>
      <name val="微軟正黑體"/>
      <family val="2"/>
      <charset val="136"/>
    </font>
    <font>
      <b/>
      <sz val="11"/>
      <color indexed="61"/>
      <name val="微軟正黑體"/>
      <family val="2"/>
      <charset val="136"/>
    </font>
    <font>
      <b/>
      <sz val="11"/>
      <color rgb="FF3333CC"/>
      <name val="微軟正黑體"/>
      <family val="2"/>
      <charset val="136"/>
    </font>
    <font>
      <sz val="10"/>
      <name val="微軟正黑體"/>
      <family val="2"/>
      <charset val="136"/>
    </font>
    <font>
      <b/>
      <sz val="12"/>
      <color indexed="20"/>
      <name val="微軟正黑體"/>
      <family val="2"/>
      <charset val="136"/>
    </font>
    <font>
      <b/>
      <u/>
      <sz val="12"/>
      <name val="微軟正黑體"/>
      <family val="2"/>
      <charset val="136"/>
    </font>
    <font>
      <b/>
      <sz val="12"/>
      <color indexed="10"/>
      <name val="微軟正黑體"/>
      <family val="2"/>
      <charset val="136"/>
    </font>
    <font>
      <b/>
      <sz val="10"/>
      <color indexed="20"/>
      <name val="微軟正黑體"/>
      <family val="2"/>
      <charset val="136"/>
    </font>
    <font>
      <sz val="12"/>
      <color indexed="53"/>
      <name val="微軟正黑體"/>
      <family val="2"/>
      <charset val="136"/>
    </font>
    <font>
      <sz val="12"/>
      <color rgb="FFFF6600"/>
      <name val="微軟正黑體"/>
      <family val="2"/>
      <charset val="136"/>
    </font>
    <font>
      <sz val="12"/>
      <color rgb="FF00B050"/>
      <name val="微軟正黑體"/>
      <family val="2"/>
      <charset val="136"/>
    </font>
    <font>
      <sz val="12"/>
      <color indexed="17"/>
      <name val="微軟正黑體"/>
      <family val="2"/>
      <charset val="136"/>
    </font>
    <font>
      <sz val="12"/>
      <color rgb="FF3333CC"/>
      <name val="微軟正黑體"/>
      <family val="2"/>
      <charset val="136"/>
    </font>
    <font>
      <sz val="12"/>
      <color indexed="62"/>
      <name val="微軟正黑體"/>
      <family val="2"/>
      <charset val="136"/>
    </font>
    <font>
      <b/>
      <sz val="9"/>
      <color indexed="18"/>
      <name val="微軟正黑體"/>
      <family val="2"/>
      <charset val="136"/>
    </font>
    <font>
      <sz val="12"/>
      <color indexed="10"/>
      <name val="Book Antiqua"/>
      <family val="1"/>
    </font>
    <font>
      <sz val="12"/>
      <color rgb="FFFF0000"/>
      <name val="微軟正黑體"/>
      <family val="2"/>
      <charset val="136"/>
    </font>
    <font>
      <b/>
      <sz val="12"/>
      <color rgb="FFFF00FF"/>
      <name val="微軟正黑體"/>
      <family val="2"/>
      <charset val="136"/>
    </font>
    <font>
      <sz val="9"/>
      <name val="新細明體"/>
      <family val="2"/>
      <charset val="136"/>
      <scheme val="minor"/>
    </font>
    <font>
      <b/>
      <sz val="10"/>
      <color rgb="FFFF0000"/>
      <name val="微軟正黑體"/>
      <family val="2"/>
      <charset val="136"/>
    </font>
    <font>
      <b/>
      <sz val="28"/>
      <color theme="1"/>
      <name val="Brush Script MT"/>
      <family val="4"/>
    </font>
    <font>
      <sz val="10"/>
      <name val="Helv"/>
      <family val="2"/>
    </font>
    <font>
      <sz val="12"/>
      <color theme="1"/>
      <name val="Microsoft YaHei"/>
      <family val="2"/>
      <charset val="134"/>
    </font>
  </fonts>
  <fills count="13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1">
    <xf numFmtId="0" fontId="0" fillId="0" borderId="0"/>
    <xf numFmtId="43" fontId="9" fillId="0" borderId="0" applyFont="0" applyFill="0" applyBorder="0" applyAlignment="0" applyProtection="0"/>
    <xf numFmtId="0" fontId="7" fillId="0" borderId="0"/>
    <xf numFmtId="0" fontId="9" fillId="2" borderId="0"/>
    <xf numFmtId="43" fontId="9" fillId="0" borderId="0" applyFont="0" applyFill="0" applyBorder="0" applyAlignment="0" applyProtection="0"/>
    <xf numFmtId="0" fontId="9" fillId="0" borderId="0"/>
    <xf numFmtId="0" fontId="16" fillId="0" borderId="0" applyNumberFormat="0" applyFill="0" applyBorder="0" applyAlignment="0" applyProtection="0">
      <alignment vertical="top"/>
      <protection locked="0"/>
    </xf>
    <xf numFmtId="9" fontId="9" fillId="0" borderId="0" applyFont="0" applyFill="0" applyBorder="0" applyAlignment="0" applyProtection="0"/>
    <xf numFmtId="181" fontId="9" fillId="0" borderId="0" applyFont="0" applyFill="0" applyBorder="0" applyAlignment="0" applyProtection="0"/>
    <xf numFmtId="178" fontId="9" fillId="0" borderId="0" applyFont="0" applyFill="0" applyBorder="0" applyAlignment="0" applyProtection="0"/>
    <xf numFmtId="43" fontId="6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0" fontId="7" fillId="0" borderId="0"/>
    <xf numFmtId="43" fontId="23" fillId="0" borderId="0" applyFont="0" applyFill="0" applyBorder="0" applyAlignment="0" applyProtection="0">
      <alignment vertical="center"/>
    </xf>
    <xf numFmtId="0" fontId="23" fillId="0" borderId="0"/>
    <xf numFmtId="37" fontId="26" fillId="0" borderId="0"/>
    <xf numFmtId="0" fontId="27" fillId="0" borderId="0"/>
    <xf numFmtId="0" fontId="7" fillId="0" borderId="0"/>
    <xf numFmtId="0" fontId="28" fillId="0" borderId="0"/>
    <xf numFmtId="43" fontId="7" fillId="0" borderId="0" applyFont="0" applyFill="0" applyBorder="0" applyAlignment="0" applyProtection="0"/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0" fontId="72" fillId="0" borderId="0"/>
  </cellStyleXfs>
  <cellXfs count="368">
    <xf numFmtId="0" fontId="0" fillId="0" borderId="0" xfId="0"/>
    <xf numFmtId="0" fontId="20" fillId="0" borderId="0" xfId="13" applyFont="1"/>
    <xf numFmtId="0" fontId="21" fillId="0" borderId="0" xfId="13" applyFont="1" applyAlignment="1">
      <alignment horizontal="left"/>
    </xf>
    <xf numFmtId="0" fontId="22" fillId="0" borderId="0" xfId="13" applyFont="1" applyAlignment="1">
      <alignment horizontal="left"/>
    </xf>
    <xf numFmtId="0" fontId="22" fillId="0" borderId="0" xfId="13" applyFont="1" applyAlignment="1">
      <alignment horizontal="center"/>
    </xf>
    <xf numFmtId="1" fontId="22" fillId="0" borderId="0" xfId="13" applyNumberFormat="1" applyFont="1" applyAlignment="1">
      <alignment horizontal="center"/>
    </xf>
    <xf numFmtId="176" fontId="21" fillId="0" borderId="0" xfId="14" applyNumberFormat="1" applyFont="1" applyFill="1" applyAlignment="1"/>
    <xf numFmtId="0" fontId="20" fillId="0" borderId="0" xfId="13" applyFont="1" applyAlignment="1">
      <alignment horizontal="center"/>
    </xf>
    <xf numFmtId="0" fontId="21" fillId="0" borderId="0" xfId="13" applyFont="1"/>
    <xf numFmtId="0" fontId="21" fillId="0" borderId="0" xfId="13" applyFont="1" applyAlignment="1">
      <alignment horizontal="center"/>
    </xf>
    <xf numFmtId="49" fontId="21" fillId="0" borderId="0" xfId="13" applyNumberFormat="1" applyFont="1" applyAlignment="1">
      <alignment horizontal="left" vertical="center"/>
    </xf>
    <xf numFmtId="176" fontId="21" fillId="0" borderId="0" xfId="14" applyNumberFormat="1" applyFont="1" applyFill="1" applyAlignment="1">
      <alignment vertical="center"/>
    </xf>
    <xf numFmtId="0" fontId="20" fillId="0" borderId="0" xfId="13" applyFont="1" applyAlignment="1">
      <alignment horizontal="center" vertical="center"/>
    </xf>
    <xf numFmtId="0" fontId="25" fillId="0" borderId="23" xfId="15" applyFont="1" applyBorder="1" applyAlignment="1">
      <alignment horizontal="center" vertical="center"/>
    </xf>
    <xf numFmtId="0" fontId="25" fillId="0" borderId="0" xfId="15" applyFont="1" applyAlignment="1">
      <alignment horizontal="center" vertical="center"/>
    </xf>
    <xf numFmtId="0" fontId="20" fillId="0" borderId="0" xfId="13" applyFont="1" applyAlignment="1">
      <alignment vertical="center"/>
    </xf>
    <xf numFmtId="0" fontId="21" fillId="3" borderId="0" xfId="3" applyFont="1" applyFill="1" applyAlignment="1">
      <alignment vertical="center"/>
    </xf>
    <xf numFmtId="176" fontId="24" fillId="0" borderId="0" xfId="13" applyNumberFormat="1" applyFont="1" applyAlignment="1">
      <alignment horizontal="center" vertical="center"/>
    </xf>
    <xf numFmtId="30" fontId="21" fillId="0" borderId="0" xfId="13" applyNumberFormat="1" applyFont="1" applyAlignment="1">
      <alignment horizontal="left"/>
    </xf>
    <xf numFmtId="0" fontId="21" fillId="0" borderId="0" xfId="13" applyFont="1" applyAlignment="1">
      <alignment horizontal="right"/>
    </xf>
    <xf numFmtId="9" fontId="21" fillId="0" borderId="0" xfId="13" applyNumberFormat="1" applyFont="1" applyAlignment="1">
      <alignment horizontal="center"/>
    </xf>
    <xf numFmtId="189" fontId="22" fillId="0" borderId="0" xfId="13" applyNumberFormat="1" applyFont="1" applyAlignment="1">
      <alignment horizontal="center"/>
    </xf>
    <xf numFmtId="49" fontId="21" fillId="0" borderId="0" xfId="13" applyNumberFormat="1" applyFont="1" applyAlignment="1">
      <alignment horizontal="left"/>
    </xf>
    <xf numFmtId="49" fontId="20" fillId="0" borderId="0" xfId="13" applyNumberFormat="1" applyFont="1" applyAlignment="1">
      <alignment horizontal="left"/>
    </xf>
    <xf numFmtId="0" fontId="20" fillId="0" borderId="0" xfId="13" applyFont="1" applyAlignment="1">
      <alignment horizontal="left"/>
    </xf>
    <xf numFmtId="0" fontId="20" fillId="0" borderId="0" xfId="13" applyFont="1" applyAlignment="1">
      <alignment horizontal="right"/>
    </xf>
    <xf numFmtId="186" fontId="20" fillId="0" borderId="0" xfId="13" applyNumberFormat="1" applyFont="1" applyAlignment="1">
      <alignment horizontal="center"/>
    </xf>
    <xf numFmtId="0" fontId="20" fillId="0" borderId="0" xfId="2" applyFont="1" applyAlignment="1">
      <alignment horizontal="center"/>
    </xf>
    <xf numFmtId="0" fontId="20" fillId="0" borderId="0" xfId="15" applyFont="1"/>
    <xf numFmtId="0" fontId="20" fillId="0" borderId="0" xfId="2" applyFont="1"/>
    <xf numFmtId="176" fontId="21" fillId="0" borderId="0" xfId="14" applyNumberFormat="1" applyFont="1" applyAlignment="1"/>
    <xf numFmtId="0" fontId="29" fillId="0" borderId="0" xfId="15" applyFont="1"/>
    <xf numFmtId="0" fontId="20" fillId="0" borderId="1" xfId="15" applyFont="1" applyBorder="1"/>
    <xf numFmtId="0" fontId="20" fillId="0" borderId="0" xfId="15" applyFont="1" applyAlignment="1">
      <alignment vertical="center"/>
    </xf>
    <xf numFmtId="176" fontId="20" fillId="0" borderId="0" xfId="14" applyNumberFormat="1" applyFont="1" applyFill="1" applyAlignment="1"/>
    <xf numFmtId="37" fontId="20" fillId="0" borderId="0" xfId="16" applyFont="1"/>
    <xf numFmtId="0" fontId="20" fillId="0" borderId="0" xfId="2" applyFont="1" applyAlignment="1">
      <alignment horizontal="left"/>
    </xf>
    <xf numFmtId="0" fontId="30" fillId="0" borderId="0" xfId="15" applyFont="1"/>
    <xf numFmtId="9" fontId="8" fillId="0" borderId="0" xfId="2" applyNumberFormat="1" applyFont="1" applyAlignment="1">
      <alignment vertical="center"/>
    </xf>
    <xf numFmtId="0" fontId="20" fillId="10" borderId="23" xfId="18" applyFont="1" applyFill="1" applyBorder="1" applyAlignment="1">
      <alignment horizontal="center" vertical="center"/>
    </xf>
    <xf numFmtId="176" fontId="20" fillId="10" borderId="0" xfId="14" applyNumberFormat="1" applyFont="1" applyFill="1" applyBorder="1" applyAlignment="1">
      <alignment vertical="center"/>
    </xf>
    <xf numFmtId="176" fontId="20" fillId="0" borderId="0" xfId="14" applyNumberFormat="1" applyFont="1" applyFill="1" applyAlignment="1">
      <alignment vertical="center"/>
    </xf>
    <xf numFmtId="187" fontId="25" fillId="0" borderId="23" xfId="14" applyNumberFormat="1" applyFont="1" applyFill="1" applyBorder="1" applyAlignment="1">
      <alignment vertical="center"/>
    </xf>
    <xf numFmtId="187" fontId="25" fillId="0" borderId="0" xfId="14" applyNumberFormat="1" applyFont="1" applyFill="1" applyBorder="1" applyAlignment="1">
      <alignment horizontal="right" vertical="center"/>
    </xf>
    <xf numFmtId="0" fontId="31" fillId="0" borderId="0" xfId="5" applyFont="1"/>
    <xf numFmtId="0" fontId="33" fillId="0" borderId="0" xfId="5" applyFont="1"/>
    <xf numFmtId="0" fontId="37" fillId="0" borderId="0" xfId="5" applyFont="1"/>
    <xf numFmtId="176" fontId="37" fillId="0" borderId="23" xfId="4" applyNumberFormat="1" applyFont="1" applyBorder="1" applyAlignment="1" applyProtection="1">
      <alignment horizontal="center"/>
    </xf>
    <xf numFmtId="0" fontId="34" fillId="0" borderId="0" xfId="5" applyFont="1"/>
    <xf numFmtId="176" fontId="38" fillId="0" borderId="23" xfId="4" applyNumberFormat="1" applyFont="1" applyBorder="1" applyAlignment="1" applyProtection="1">
      <alignment horizontal="center"/>
    </xf>
    <xf numFmtId="176" fontId="38" fillId="0" borderId="23" xfId="4" applyNumberFormat="1" applyFont="1" applyBorder="1" applyProtection="1"/>
    <xf numFmtId="176" fontId="34" fillId="0" borderId="0" xfId="5" applyNumberFormat="1" applyFont="1"/>
    <xf numFmtId="0" fontId="38" fillId="0" borderId="0" xfId="5" applyFont="1"/>
    <xf numFmtId="0" fontId="35" fillId="0" borderId="0" xfId="5" applyFont="1"/>
    <xf numFmtId="176" fontId="35" fillId="0" borderId="23" xfId="4" applyNumberFormat="1" applyFont="1" applyBorder="1" applyAlignment="1" applyProtection="1">
      <alignment horizontal="center"/>
    </xf>
    <xf numFmtId="176" fontId="35" fillId="0" borderId="23" xfId="4" applyNumberFormat="1" applyFont="1" applyBorder="1" applyProtection="1"/>
    <xf numFmtId="176" fontId="32" fillId="5" borderId="23" xfId="4" applyNumberFormat="1" applyFont="1" applyFill="1" applyBorder="1" applyAlignment="1" applyProtection="1">
      <alignment horizontal="center"/>
    </xf>
    <xf numFmtId="176" fontId="32" fillId="5" borderId="23" xfId="4" applyNumberFormat="1" applyFont="1" applyFill="1" applyBorder="1" applyProtection="1"/>
    <xf numFmtId="0" fontId="35" fillId="0" borderId="0" xfId="5" applyFont="1" applyAlignment="1">
      <alignment horizontal="center"/>
    </xf>
    <xf numFmtId="0" fontId="35" fillId="0" borderId="23" xfId="5" applyFont="1" applyBorder="1" applyAlignment="1">
      <alignment horizontal="center"/>
    </xf>
    <xf numFmtId="10" fontId="39" fillId="0" borderId="23" xfId="7" applyNumberFormat="1" applyFont="1" applyBorder="1" applyAlignment="1" applyProtection="1">
      <alignment horizontal="right"/>
    </xf>
    <xf numFmtId="10" fontId="39" fillId="0" borderId="23" xfId="7" applyNumberFormat="1" applyFont="1" applyBorder="1" applyAlignment="1" applyProtection="1">
      <alignment horizontal="center"/>
    </xf>
    <xf numFmtId="0" fontId="40" fillId="0" borderId="0" xfId="5" applyFont="1" applyAlignment="1">
      <alignment horizontal="center"/>
    </xf>
    <xf numFmtId="0" fontId="40" fillId="0" borderId="0" xfId="5" applyFont="1"/>
    <xf numFmtId="0" fontId="40" fillId="10" borderId="0" xfId="5" applyFont="1" applyFill="1"/>
    <xf numFmtId="0" fontId="36" fillId="10" borderId="0" xfId="5" applyFont="1" applyFill="1"/>
    <xf numFmtId="0" fontId="40" fillId="0" borderId="0" xfId="5" applyFont="1" applyAlignment="1">
      <alignment horizontal="left"/>
    </xf>
    <xf numFmtId="180" fontId="40" fillId="0" borderId="0" xfId="5" applyNumberFormat="1" applyFont="1" applyAlignment="1">
      <alignment horizontal="right"/>
    </xf>
    <xf numFmtId="0" fontId="42" fillId="0" borderId="0" xfId="5" applyFont="1"/>
    <xf numFmtId="9" fontId="44" fillId="0" borderId="0" xfId="7" applyFont="1" applyBorder="1" applyAlignment="1" applyProtection="1">
      <alignment horizontal="center"/>
    </xf>
    <xf numFmtId="14" fontId="40" fillId="0" borderId="0" xfId="5" applyNumberFormat="1" applyFont="1" applyAlignment="1" applyProtection="1">
      <alignment horizontal="center"/>
      <protection locked="0"/>
    </xf>
    <xf numFmtId="0" fontId="45" fillId="5" borderId="2" xfId="5" applyFont="1" applyFill="1" applyBorder="1"/>
    <xf numFmtId="0" fontId="45" fillId="5" borderId="3" xfId="5" applyFont="1" applyFill="1" applyBorder="1"/>
    <xf numFmtId="0" fontId="45" fillId="5" borderId="3" xfId="5" applyFont="1" applyFill="1" applyBorder="1" applyAlignment="1">
      <alignment vertical="center"/>
    </xf>
    <xf numFmtId="179" fontId="45" fillId="5" borderId="3" xfId="5" applyNumberFormat="1" applyFont="1" applyFill="1" applyBorder="1" applyAlignment="1">
      <alignment horizontal="right"/>
    </xf>
    <xf numFmtId="176" fontId="46" fillId="0" borderId="0" xfId="4" applyNumberFormat="1" applyFont="1"/>
    <xf numFmtId="0" fontId="45" fillId="8" borderId="2" xfId="5" applyFont="1" applyFill="1" applyBorder="1"/>
    <xf numFmtId="0" fontId="45" fillId="8" borderId="3" xfId="5" applyFont="1" applyFill="1" applyBorder="1"/>
    <xf numFmtId="0" fontId="47" fillId="8" borderId="3" xfId="5" applyFont="1" applyFill="1" applyBorder="1"/>
    <xf numFmtId="180" fontId="47" fillId="8" borderId="3" xfId="5" applyNumberFormat="1" applyFont="1" applyFill="1" applyBorder="1"/>
    <xf numFmtId="182" fontId="48" fillId="8" borderId="3" xfId="5" applyNumberFormat="1" applyFont="1" applyFill="1" applyBorder="1"/>
    <xf numFmtId="179" fontId="45" fillId="8" borderId="4" xfId="5" applyNumberFormat="1" applyFont="1" applyFill="1" applyBorder="1"/>
    <xf numFmtId="0" fontId="36" fillId="9" borderId="21" xfId="5" applyFont="1" applyFill="1" applyBorder="1"/>
    <xf numFmtId="0" fontId="45" fillId="9" borderId="0" xfId="5" applyFont="1" applyFill="1"/>
    <xf numFmtId="0" fontId="47" fillId="9" borderId="0" xfId="5" applyFont="1" applyFill="1"/>
    <xf numFmtId="180" fontId="47" fillId="9" borderId="0" xfId="5" applyNumberFormat="1" applyFont="1" applyFill="1"/>
    <xf numFmtId="182" fontId="48" fillId="9" borderId="0" xfId="5" applyNumberFormat="1" applyFont="1" applyFill="1"/>
    <xf numFmtId="0" fontId="36" fillId="9" borderId="0" xfId="5" applyFont="1" applyFill="1"/>
    <xf numFmtId="0" fontId="40" fillId="9" borderId="0" xfId="5" applyFont="1" applyFill="1"/>
    <xf numFmtId="179" fontId="36" fillId="9" borderId="6" xfId="5" applyNumberFormat="1" applyFont="1" applyFill="1" applyBorder="1"/>
    <xf numFmtId="0" fontId="43" fillId="0" borderId="5" xfId="5" applyFont="1" applyBorder="1" applyAlignment="1">
      <alignment horizontal="center"/>
    </xf>
    <xf numFmtId="0" fontId="43" fillId="0" borderId="0" xfId="5" applyFont="1" applyAlignment="1">
      <alignment horizontal="center"/>
    </xf>
    <xf numFmtId="180" fontId="43" fillId="0" borderId="0" xfId="5" applyNumberFormat="1" applyFont="1" applyAlignment="1">
      <alignment horizontal="center"/>
    </xf>
    <xf numFmtId="180" fontId="43" fillId="0" borderId="6" xfId="5" applyNumberFormat="1" applyFont="1" applyBorder="1" applyAlignment="1">
      <alignment horizontal="center"/>
    </xf>
    <xf numFmtId="0" fontId="36" fillId="0" borderId="0" xfId="5" applyFont="1" applyAlignment="1">
      <alignment horizontal="center"/>
    </xf>
    <xf numFmtId="0" fontId="40" fillId="7" borderId="5" xfId="5" applyFont="1" applyFill="1" applyBorder="1" applyAlignment="1">
      <alignment horizontal="left" indent="1"/>
    </xf>
    <xf numFmtId="0" fontId="40" fillId="7" borderId="0" xfId="5" applyFont="1" applyFill="1" applyAlignment="1">
      <alignment horizontal="center"/>
    </xf>
    <xf numFmtId="176" fontId="41" fillId="7" borderId="0" xfId="4" applyNumberFormat="1" applyFont="1" applyFill="1" applyBorder="1" applyAlignment="1" applyProtection="1"/>
    <xf numFmtId="0" fontId="40" fillId="0" borderId="5" xfId="5" applyFont="1" applyBorder="1" applyAlignment="1">
      <alignment horizontal="center"/>
    </xf>
    <xf numFmtId="0" fontId="40" fillId="0" borderId="0" xfId="5" applyFont="1" applyAlignment="1">
      <alignment horizontal="right"/>
    </xf>
    <xf numFmtId="176" fontId="49" fillId="0" borderId="0" xfId="4" applyNumberFormat="1" applyFont="1" applyFill="1"/>
    <xf numFmtId="0" fontId="50" fillId="6" borderId="5" xfId="5" applyFont="1" applyFill="1" applyBorder="1"/>
    <xf numFmtId="0" fontId="50" fillId="6" borderId="0" xfId="5" applyFont="1" applyFill="1"/>
    <xf numFmtId="0" fontId="50" fillId="6" borderId="0" xfId="5" applyFont="1" applyFill="1" applyAlignment="1">
      <alignment horizontal="left" vertical="center"/>
    </xf>
    <xf numFmtId="0" fontId="50" fillId="6" borderId="0" xfId="5" applyFont="1" applyFill="1" applyAlignment="1">
      <alignment horizontal="center" vertical="center"/>
    </xf>
    <xf numFmtId="179" fontId="50" fillId="6" borderId="0" xfId="5" applyNumberFormat="1" applyFont="1" applyFill="1" applyAlignment="1">
      <alignment horizontal="right"/>
    </xf>
    <xf numFmtId="177" fontId="50" fillId="6" borderId="20" xfId="5" applyNumberFormat="1" applyFont="1" applyFill="1" applyBorder="1" applyAlignment="1">
      <alignment horizontal="right"/>
    </xf>
    <xf numFmtId="0" fontId="50" fillId="0" borderId="0" xfId="5" applyFont="1"/>
    <xf numFmtId="176" fontId="50" fillId="0" borderId="0" xfId="4" applyNumberFormat="1" applyFont="1"/>
    <xf numFmtId="179" fontId="48" fillId="0" borderId="0" xfId="5" applyNumberFormat="1" applyFont="1" applyAlignment="1">
      <alignment horizontal="right"/>
    </xf>
    <xf numFmtId="179" fontId="48" fillId="0" borderId="6" xfId="5" applyNumberFormat="1" applyFont="1" applyBorder="1" applyAlignment="1">
      <alignment horizontal="right"/>
    </xf>
    <xf numFmtId="0" fontId="50" fillId="6" borderId="0" xfId="5" applyFont="1" applyFill="1" applyAlignment="1">
      <alignment horizontal="right"/>
    </xf>
    <xf numFmtId="180" fontId="50" fillId="6" borderId="0" xfId="5" applyNumberFormat="1" applyFont="1" applyFill="1" applyAlignment="1">
      <alignment horizontal="right"/>
    </xf>
    <xf numFmtId="177" fontId="50" fillId="6" borderId="6" xfId="5" applyNumberFormat="1" applyFont="1" applyFill="1" applyBorder="1" applyAlignment="1">
      <alignment horizontal="right"/>
    </xf>
    <xf numFmtId="0" fontId="51" fillId="0" borderId="5" xfId="5" applyFont="1" applyBorder="1"/>
    <xf numFmtId="179" fontId="40" fillId="0" borderId="6" xfId="8" applyNumberFormat="1" applyFont="1" applyFill="1" applyBorder="1" applyProtection="1">
      <protection locked="0"/>
    </xf>
    <xf numFmtId="9" fontId="44" fillId="0" borderId="10" xfId="7" applyFont="1" applyBorder="1" applyAlignment="1" applyProtection="1">
      <alignment horizontal="center"/>
    </xf>
    <xf numFmtId="179" fontId="40" fillId="0" borderId="0" xfId="5" applyNumberFormat="1" applyFont="1" applyAlignment="1">
      <alignment horizontal="right"/>
    </xf>
    <xf numFmtId="182" fontId="40" fillId="0" borderId="6" xfId="8" applyNumberFormat="1" applyFont="1" applyFill="1" applyBorder="1" applyProtection="1">
      <protection locked="0"/>
    </xf>
    <xf numFmtId="0" fontId="42" fillId="6" borderId="0" xfId="5" quotePrefix="1" applyFont="1" applyFill="1" applyAlignment="1">
      <alignment horizontal="left"/>
    </xf>
    <xf numFmtId="0" fontId="42" fillId="6" borderId="0" xfId="5" applyFont="1" applyFill="1" applyAlignment="1">
      <alignment horizontal="right"/>
    </xf>
    <xf numFmtId="0" fontId="42" fillId="6" borderId="0" xfId="5" applyFont="1" applyFill="1"/>
    <xf numFmtId="179" fontId="42" fillId="6" borderId="0" xfId="5" applyNumberFormat="1" applyFont="1" applyFill="1" applyAlignment="1">
      <alignment horizontal="right"/>
    </xf>
    <xf numFmtId="180" fontId="42" fillId="6" borderId="0" xfId="5" applyNumberFormat="1" applyFont="1" applyFill="1" applyAlignment="1">
      <alignment horizontal="right"/>
    </xf>
    <xf numFmtId="0" fontId="40" fillId="6" borderId="0" xfId="5" applyFont="1" applyFill="1" applyAlignment="1">
      <alignment horizontal="left"/>
    </xf>
    <xf numFmtId="0" fontId="40" fillId="6" borderId="0" xfId="5" applyFont="1" applyFill="1"/>
    <xf numFmtId="179" fontId="40" fillId="6" borderId="0" xfId="5" applyNumberFormat="1" applyFont="1" applyFill="1"/>
    <xf numFmtId="180" fontId="40" fillId="6" borderId="0" xfId="5" applyNumberFormat="1" applyFont="1" applyFill="1"/>
    <xf numFmtId="0" fontId="40" fillId="6" borderId="0" xfId="5" applyFont="1" applyFill="1" applyAlignment="1">
      <alignment horizontal="right"/>
    </xf>
    <xf numFmtId="0" fontId="40" fillId="0" borderId="5" xfId="5" applyFont="1" applyBorder="1" applyAlignment="1">
      <alignment horizontal="left"/>
    </xf>
    <xf numFmtId="179" fontId="40" fillId="0" borderId="0" xfId="5" applyNumberFormat="1" applyFont="1"/>
    <xf numFmtId="180" fontId="40" fillId="0" borderId="0" xfId="5" applyNumberFormat="1" applyFont="1"/>
    <xf numFmtId="179" fontId="52" fillId="0" borderId="0" xfId="5" applyNumberFormat="1" applyFont="1"/>
    <xf numFmtId="0" fontId="40" fillId="0" borderId="0" xfId="5" applyFont="1" applyAlignment="1">
      <alignment vertical="center"/>
    </xf>
    <xf numFmtId="0" fontId="40" fillId="0" borderId="8" xfId="5" applyFont="1" applyBorder="1" applyAlignment="1">
      <alignment vertical="center"/>
    </xf>
    <xf numFmtId="0" fontId="14" fillId="0" borderId="8" xfId="6" applyFont="1" applyBorder="1" applyAlignment="1" applyProtection="1">
      <alignment vertical="center"/>
    </xf>
    <xf numFmtId="0" fontId="40" fillId="0" borderId="9" xfId="5" applyFont="1" applyBorder="1" applyAlignment="1">
      <alignment vertical="center"/>
    </xf>
    <xf numFmtId="0" fontId="40" fillId="0" borderId="10" xfId="5" applyFont="1" applyBorder="1" applyAlignment="1">
      <alignment vertical="center"/>
    </xf>
    <xf numFmtId="30" fontId="14" fillId="0" borderId="0" xfId="6" applyNumberFormat="1" applyFont="1" applyBorder="1" applyAlignment="1" applyProtection="1">
      <alignment vertical="center"/>
    </xf>
    <xf numFmtId="0" fontId="40" fillId="0" borderId="6" xfId="5" applyFont="1" applyBorder="1" applyAlignment="1">
      <alignment vertical="center"/>
    </xf>
    <xf numFmtId="0" fontId="40" fillId="0" borderId="0" xfId="5" applyFont="1" applyAlignment="1" applyProtection="1">
      <alignment vertical="center"/>
      <protection locked="0"/>
    </xf>
    <xf numFmtId="0" fontId="40" fillId="0" borderId="5" xfId="5" applyFont="1" applyBorder="1" applyAlignment="1">
      <alignment vertical="center"/>
    </xf>
    <xf numFmtId="0" fontId="42" fillId="0" borderId="0" xfId="5" applyFont="1" applyAlignment="1">
      <alignment horizontal="center" vertical="center"/>
    </xf>
    <xf numFmtId="0" fontId="40" fillId="0" borderId="0" xfId="5" applyFont="1" applyAlignment="1">
      <alignment horizontal="left" vertical="center"/>
    </xf>
    <xf numFmtId="30" fontId="40" fillId="0" borderId="0" xfId="5" applyNumberFormat="1" applyFont="1" applyAlignment="1">
      <alignment horizontal="center" vertical="center"/>
    </xf>
    <xf numFmtId="30" fontId="40" fillId="0" borderId="6" xfId="5" applyNumberFormat="1" applyFont="1" applyBorder="1" applyAlignment="1">
      <alignment horizontal="center" vertical="center"/>
    </xf>
    <xf numFmtId="0" fontId="40" fillId="0" borderId="11" xfId="5" applyFont="1" applyBorder="1" applyAlignment="1">
      <alignment vertical="center"/>
    </xf>
    <xf numFmtId="14" fontId="40" fillId="0" borderId="8" xfId="5" applyNumberFormat="1" applyFont="1" applyBorder="1" applyAlignment="1" applyProtection="1">
      <alignment horizontal="center" vertical="center"/>
      <protection locked="0"/>
    </xf>
    <xf numFmtId="14" fontId="53" fillId="0" borderId="12" xfId="5" applyNumberFormat="1" applyFont="1" applyBorder="1" applyAlignment="1" applyProtection="1">
      <alignment horizontal="center" vertical="center"/>
      <protection locked="0"/>
    </xf>
    <xf numFmtId="0" fontId="42" fillId="0" borderId="13" xfId="5" applyFont="1" applyBorder="1" applyAlignment="1">
      <alignment vertical="center"/>
    </xf>
    <xf numFmtId="0" fontId="40" fillId="0" borderId="13" xfId="5" applyFont="1" applyBorder="1" applyAlignment="1">
      <alignment vertical="center"/>
    </xf>
    <xf numFmtId="0" fontId="42" fillId="0" borderId="16" xfId="5" applyFont="1" applyBorder="1" applyAlignment="1">
      <alignment horizontal="left" vertical="center"/>
    </xf>
    <xf numFmtId="0" fontId="42" fillId="0" borderId="16" xfId="5" applyFont="1" applyBorder="1" applyAlignment="1" applyProtection="1">
      <alignment vertical="center"/>
      <protection locked="0"/>
    </xf>
    <xf numFmtId="0" fontId="42" fillId="4" borderId="17" xfId="5" applyFont="1" applyFill="1" applyBorder="1" applyAlignment="1" applyProtection="1">
      <alignment vertical="center"/>
      <protection locked="0"/>
    </xf>
    <xf numFmtId="0" fontId="40" fillId="0" borderId="15" xfId="5" applyFont="1" applyBorder="1" applyAlignment="1">
      <alignment horizontal="left" vertical="center"/>
    </xf>
    <xf numFmtId="0" fontId="42" fillId="0" borderId="15" xfId="5" applyFont="1" applyBorder="1" applyAlignment="1" applyProtection="1">
      <alignment horizontal="left" vertical="center"/>
      <protection locked="0"/>
    </xf>
    <xf numFmtId="0" fontId="42" fillId="0" borderId="18" xfId="5" applyFont="1" applyBorder="1" applyAlignment="1" applyProtection="1">
      <alignment horizontal="left" vertical="center"/>
      <protection locked="0"/>
    </xf>
    <xf numFmtId="0" fontId="40" fillId="0" borderId="16" xfId="5" applyFont="1" applyBorder="1" applyAlignment="1" applyProtection="1">
      <alignment horizontal="left" vertical="center"/>
      <protection locked="0"/>
    </xf>
    <xf numFmtId="0" fontId="40" fillId="0" borderId="17" xfId="5" applyFont="1" applyBorder="1" applyAlignment="1" applyProtection="1">
      <alignment horizontal="left" vertical="center"/>
      <protection locked="0"/>
    </xf>
    <xf numFmtId="0" fontId="49" fillId="0" borderId="0" xfId="5" applyFont="1" applyAlignment="1">
      <alignment vertical="center"/>
    </xf>
    <xf numFmtId="0" fontId="40" fillId="0" borderId="19" xfId="5" applyFont="1" applyBorder="1" applyAlignment="1">
      <alignment vertical="center"/>
    </xf>
    <xf numFmtId="14" fontId="40" fillId="0" borderId="16" xfId="5" applyNumberFormat="1" applyFont="1" applyBorder="1" applyAlignment="1" applyProtection="1">
      <alignment horizontal="left" vertical="center"/>
      <protection locked="0"/>
    </xf>
    <xf numFmtId="14" fontId="40" fillId="0" borderId="17" xfId="5" applyNumberFormat="1" applyFont="1" applyBorder="1" applyAlignment="1" applyProtection="1">
      <alignment horizontal="right" vertical="center"/>
      <protection locked="0"/>
    </xf>
    <xf numFmtId="14" fontId="40" fillId="4" borderId="16" xfId="5" applyNumberFormat="1" applyFont="1" applyFill="1" applyBorder="1" applyAlignment="1" applyProtection="1">
      <alignment horizontal="left" vertical="center"/>
      <protection locked="0"/>
    </xf>
    <xf numFmtId="0" fontId="40" fillId="0" borderId="16" xfId="5" applyFont="1" applyBorder="1" applyAlignment="1">
      <alignment vertical="center"/>
    </xf>
    <xf numFmtId="14" fontId="40" fillId="4" borderId="17" xfId="5" applyNumberFormat="1" applyFont="1" applyFill="1" applyBorder="1" applyAlignment="1" applyProtection="1">
      <alignment horizontal="left" vertical="center"/>
      <protection locked="0"/>
    </xf>
    <xf numFmtId="0" fontId="45" fillId="11" borderId="7" xfId="5" applyFont="1" applyFill="1" applyBorder="1" applyAlignment="1">
      <alignment vertical="center"/>
    </xf>
    <xf numFmtId="9" fontId="45" fillId="11" borderId="22" xfId="7" applyFont="1" applyFill="1" applyBorder="1" applyAlignment="1" applyProtection="1">
      <alignment horizontal="center" vertical="center"/>
    </xf>
    <xf numFmtId="0" fontId="40" fillId="0" borderId="0" xfId="5" applyFont="1" applyAlignment="1">
      <alignment horizontal="center" vertical="center"/>
    </xf>
    <xf numFmtId="0" fontId="40" fillId="0" borderId="0" xfId="5" applyFont="1" applyAlignment="1">
      <alignment horizontal="right" vertical="center"/>
    </xf>
    <xf numFmtId="0" fontId="36" fillId="0" borderId="0" xfId="5" applyFont="1" applyAlignment="1">
      <alignment vertical="center"/>
    </xf>
    <xf numFmtId="179" fontId="40" fillId="0" borderId="6" xfId="5" applyNumberFormat="1" applyFont="1" applyBorder="1" applyAlignment="1">
      <alignment vertical="center"/>
    </xf>
    <xf numFmtId="0" fontId="36" fillId="9" borderId="5" xfId="5" applyFont="1" applyFill="1" applyBorder="1" applyAlignment="1">
      <alignment vertical="center"/>
    </xf>
    <xf numFmtId="0" fontId="40" fillId="9" borderId="0" xfId="5" applyFont="1" applyFill="1" applyAlignment="1">
      <alignment horizontal="center" vertical="center"/>
    </xf>
    <xf numFmtId="0" fontId="40" fillId="9" borderId="0" xfId="5" applyFont="1" applyFill="1" applyAlignment="1">
      <alignment vertical="center"/>
    </xf>
    <xf numFmtId="179" fontId="40" fillId="9" borderId="6" xfId="5" applyNumberFormat="1" applyFont="1" applyFill="1" applyBorder="1" applyAlignment="1">
      <alignment vertical="center"/>
    </xf>
    <xf numFmtId="176" fontId="49" fillId="0" borderId="0" xfId="4" applyNumberFormat="1" applyFont="1" applyFill="1" applyAlignment="1">
      <alignment vertical="center"/>
    </xf>
    <xf numFmtId="0" fontId="43" fillId="0" borderId="5" xfId="5" applyFont="1" applyBorder="1" applyAlignment="1">
      <alignment horizontal="center" vertical="center"/>
    </xf>
    <xf numFmtId="0" fontId="43" fillId="0" borderId="0" xfId="5" applyFont="1" applyAlignment="1">
      <alignment horizontal="center" vertical="center"/>
    </xf>
    <xf numFmtId="179" fontId="43" fillId="0" borderId="6" xfId="5" applyNumberFormat="1" applyFont="1" applyBorder="1" applyAlignment="1">
      <alignment horizontal="center" vertical="center"/>
    </xf>
    <xf numFmtId="0" fontId="40" fillId="0" borderId="5" xfId="5" applyFont="1" applyBorder="1" applyAlignment="1">
      <alignment horizontal="left" vertical="center"/>
    </xf>
    <xf numFmtId="179" fontId="36" fillId="10" borderId="6" xfId="5" applyNumberFormat="1" applyFont="1" applyFill="1" applyBorder="1" applyAlignment="1">
      <alignment vertical="center"/>
    </xf>
    <xf numFmtId="179" fontId="40" fillId="0" borderId="0" xfId="5" applyNumberFormat="1" applyFont="1" applyAlignment="1">
      <alignment horizontal="right" vertical="center"/>
    </xf>
    <xf numFmtId="179" fontId="40" fillId="0" borderId="0" xfId="5" applyNumberFormat="1" applyFont="1" applyAlignment="1">
      <alignment vertical="center"/>
    </xf>
    <xf numFmtId="0" fontId="36" fillId="9" borderId="5" xfId="5" applyFont="1" applyFill="1" applyBorder="1" applyAlignment="1">
      <alignment horizontal="left" vertical="center"/>
    </xf>
    <xf numFmtId="0" fontId="42" fillId="9" borderId="0" xfId="5" applyFont="1" applyFill="1" applyAlignment="1">
      <alignment horizontal="right" vertical="center"/>
    </xf>
    <xf numFmtId="0" fontId="42" fillId="9" borderId="0" xfId="5" applyFont="1" applyFill="1" applyAlignment="1">
      <alignment vertical="center"/>
    </xf>
    <xf numFmtId="180" fontId="40" fillId="9" borderId="0" xfId="5" applyNumberFormat="1" applyFont="1" applyFill="1" applyAlignment="1">
      <alignment horizontal="right" vertical="center"/>
    </xf>
    <xf numFmtId="180" fontId="40" fillId="9" borderId="6" xfId="5" applyNumberFormat="1" applyFont="1" applyFill="1" applyBorder="1" applyAlignment="1">
      <alignment horizontal="right" vertical="center"/>
    </xf>
    <xf numFmtId="0" fontId="40" fillId="9" borderId="0" xfId="5" applyFont="1" applyFill="1" applyAlignment="1">
      <alignment horizontal="left" vertical="center"/>
    </xf>
    <xf numFmtId="179" fontId="40" fillId="9" borderId="0" xfId="5" applyNumberFormat="1" applyFont="1" applyFill="1" applyAlignment="1">
      <alignment vertical="center"/>
    </xf>
    <xf numFmtId="180" fontId="40" fillId="9" borderId="0" xfId="5" applyNumberFormat="1" applyFont="1" applyFill="1" applyAlignment="1">
      <alignment vertical="center"/>
    </xf>
    <xf numFmtId="0" fontId="36" fillId="9" borderId="0" xfId="5" applyFont="1" applyFill="1" applyAlignment="1">
      <alignment horizontal="left" vertical="center"/>
    </xf>
    <xf numFmtId="184" fontId="40" fillId="0" borderId="0" xfId="5" applyNumberFormat="1" applyFont="1" applyAlignment="1">
      <alignment horizontal="right" vertical="center"/>
    </xf>
    <xf numFmtId="180" fontId="40" fillId="0" borderId="6" xfId="5" applyNumberFormat="1" applyFont="1" applyBorder="1" applyAlignment="1">
      <alignment horizontal="right" vertical="center"/>
    </xf>
    <xf numFmtId="0" fontId="49" fillId="0" borderId="0" xfId="5" applyFont="1" applyAlignment="1">
      <alignment horizontal="left" vertical="center"/>
    </xf>
    <xf numFmtId="0" fontId="45" fillId="11" borderId="22" xfId="5" applyFont="1" applyFill="1" applyBorder="1" applyAlignment="1">
      <alignment vertical="center"/>
    </xf>
    <xf numFmtId="183" fontId="45" fillId="11" borderId="22" xfId="5" applyNumberFormat="1" applyFont="1" applyFill="1" applyBorder="1" applyAlignment="1">
      <alignment vertical="center"/>
    </xf>
    <xf numFmtId="0" fontId="47" fillId="11" borderId="22" xfId="5" applyFont="1" applyFill="1" applyBorder="1" applyAlignment="1">
      <alignment vertical="center"/>
    </xf>
    <xf numFmtId="0" fontId="42" fillId="0" borderId="0" xfId="5" applyFont="1" applyAlignment="1">
      <alignment vertical="center"/>
    </xf>
    <xf numFmtId="0" fontId="42" fillId="0" borderId="0" xfId="5" applyFont="1" applyAlignment="1" applyProtection="1">
      <alignment horizontal="left" vertical="center"/>
      <protection locked="0"/>
    </xf>
    <xf numFmtId="0" fontId="42" fillId="0" borderId="0" xfId="5" applyFont="1" applyAlignment="1" applyProtection="1">
      <alignment horizontal="center" vertical="center"/>
      <protection locked="0"/>
    </xf>
    <xf numFmtId="0" fontId="42" fillId="0" borderId="0" xfId="5" applyFont="1" applyAlignment="1">
      <alignment horizontal="left" vertical="center"/>
    </xf>
    <xf numFmtId="0" fontId="42" fillId="0" borderId="0" xfId="5" applyFont="1" applyAlignment="1">
      <alignment horizontal="right" vertical="center"/>
    </xf>
    <xf numFmtId="0" fontId="33" fillId="10" borderId="5" xfId="5" applyFont="1" applyFill="1" applyBorder="1" applyAlignment="1">
      <alignment horizontal="left" indent="1"/>
    </xf>
    <xf numFmtId="0" fontId="33" fillId="0" borderId="5" xfId="5" applyFont="1" applyBorder="1" applyAlignment="1">
      <alignment horizontal="left" indent="1"/>
    </xf>
    <xf numFmtId="0" fontId="33" fillId="0" borderId="0" xfId="5" applyFont="1" applyAlignment="1">
      <alignment horizontal="center"/>
    </xf>
    <xf numFmtId="176" fontId="35" fillId="0" borderId="0" xfId="4" applyNumberFormat="1" applyFont="1" applyFill="1" applyBorder="1" applyAlignment="1" applyProtection="1"/>
    <xf numFmtId="179" fontId="33" fillId="0" borderId="6" xfId="5" applyNumberFormat="1" applyFont="1" applyBorder="1"/>
    <xf numFmtId="0" fontId="55" fillId="0" borderId="0" xfId="5" applyFont="1"/>
    <xf numFmtId="0" fontId="33" fillId="10" borderId="0" xfId="5" applyFont="1" applyFill="1" applyAlignment="1">
      <alignment horizontal="center"/>
    </xf>
    <xf numFmtId="176" fontId="35" fillId="10" borderId="0" xfId="4" applyNumberFormat="1" applyFont="1" applyFill="1" applyBorder="1" applyAlignment="1" applyProtection="1"/>
    <xf numFmtId="0" fontId="33" fillId="10" borderId="0" xfId="5" applyFont="1" applyFill="1"/>
    <xf numFmtId="179" fontId="33" fillId="10" borderId="6" xfId="5" applyNumberFormat="1" applyFont="1" applyFill="1" applyBorder="1"/>
    <xf numFmtId="0" fontId="55" fillId="10" borderId="0" xfId="5" applyFont="1" applyFill="1"/>
    <xf numFmtId="0" fontId="20" fillId="10" borderId="0" xfId="5" applyFont="1" applyFill="1" applyAlignment="1">
      <alignment horizontal="center"/>
    </xf>
    <xf numFmtId="179" fontId="54" fillId="0" borderId="0" xfId="5" applyNumberFormat="1" applyFont="1" applyAlignment="1">
      <alignment horizontal="right"/>
    </xf>
    <xf numFmtId="0" fontId="37" fillId="0" borderId="5" xfId="5" applyFont="1" applyBorder="1"/>
    <xf numFmtId="0" fontId="56" fillId="0" borderId="0" xfId="5" applyFont="1" applyAlignment="1">
      <alignment horizontal="left"/>
    </xf>
    <xf numFmtId="30" fontId="37" fillId="0" borderId="0" xfId="5" applyNumberFormat="1" applyFont="1" applyAlignment="1">
      <alignment horizontal="center"/>
    </xf>
    <xf numFmtId="180" fontId="56" fillId="0" borderId="6" xfId="5" applyNumberFormat="1" applyFont="1" applyBorder="1" applyAlignment="1">
      <alignment horizontal="center"/>
    </xf>
    <xf numFmtId="0" fontId="33" fillId="0" borderId="5" xfId="5" applyFont="1" applyBorder="1"/>
    <xf numFmtId="0" fontId="33" fillId="0" borderId="0" xfId="5" applyFont="1" applyAlignment="1">
      <alignment horizontal="left"/>
    </xf>
    <xf numFmtId="180" fontId="33" fillId="0" borderId="0" xfId="5" applyNumberFormat="1" applyFont="1" applyAlignment="1">
      <alignment horizontal="right"/>
    </xf>
    <xf numFmtId="9" fontId="57" fillId="0" borderId="0" xfId="7" applyFont="1" applyBorder="1" applyAlignment="1" applyProtection="1">
      <alignment horizontal="center"/>
    </xf>
    <xf numFmtId="14" fontId="33" fillId="0" borderId="0" xfId="5" applyNumberFormat="1" applyFont="1" applyAlignment="1" applyProtection="1">
      <alignment horizontal="center"/>
      <protection locked="0"/>
    </xf>
    <xf numFmtId="179" fontId="33" fillId="0" borderId="0" xfId="5" applyNumberFormat="1" applyFont="1" applyAlignment="1">
      <alignment horizontal="right"/>
    </xf>
    <xf numFmtId="179" fontId="33" fillId="0" borderId="6" xfId="5" applyNumberFormat="1" applyFont="1" applyBorder="1" applyAlignment="1">
      <alignment horizontal="right"/>
    </xf>
    <xf numFmtId="0" fontId="33" fillId="0" borderId="0" xfId="5" applyFont="1" applyAlignment="1">
      <alignment horizontal="right"/>
    </xf>
    <xf numFmtId="179" fontId="13" fillId="0" borderId="0" xfId="5" applyNumberFormat="1" applyFont="1" applyAlignment="1">
      <alignment horizontal="right"/>
    </xf>
    <xf numFmtId="179" fontId="13" fillId="0" borderId="6" xfId="5" applyNumberFormat="1" applyFont="1" applyBorder="1" applyAlignment="1">
      <alignment horizontal="right"/>
    </xf>
    <xf numFmtId="0" fontId="58" fillId="0" borderId="0" xfId="5" applyFont="1"/>
    <xf numFmtId="0" fontId="33" fillId="0" borderId="5" xfId="5" applyFont="1" applyBorder="1" applyAlignment="1">
      <alignment horizontal="left" vertical="center"/>
    </xf>
    <xf numFmtId="0" fontId="33" fillId="0" borderId="0" xfId="5" applyFont="1" applyAlignment="1">
      <alignment horizontal="left" vertical="center"/>
    </xf>
    <xf numFmtId="0" fontId="33" fillId="0" borderId="0" xfId="5" applyFont="1" applyAlignment="1">
      <alignment vertical="center"/>
    </xf>
    <xf numFmtId="179" fontId="33" fillId="0" borderId="0" xfId="5" applyNumberFormat="1" applyFont="1" applyAlignment="1">
      <alignment vertical="center"/>
    </xf>
    <xf numFmtId="183" fontId="33" fillId="0" borderId="0" xfId="5" applyNumberFormat="1" applyFont="1" applyAlignment="1">
      <alignment horizontal="center" vertical="center"/>
    </xf>
    <xf numFmtId="179" fontId="33" fillId="0" borderId="6" xfId="5" applyNumberFormat="1" applyFont="1" applyBorder="1" applyAlignment="1">
      <alignment vertical="center"/>
    </xf>
    <xf numFmtId="0" fontId="61" fillId="0" borderId="5" xfId="5" applyFont="1" applyBorder="1" applyAlignment="1">
      <alignment horizontal="left" vertical="center"/>
    </xf>
    <xf numFmtId="0" fontId="61" fillId="0" borderId="0" xfId="5" quotePrefix="1" applyFont="1" applyAlignment="1">
      <alignment horizontal="left" vertical="center"/>
    </xf>
    <xf numFmtId="0" fontId="61" fillId="0" borderId="0" xfId="5" applyFont="1" applyAlignment="1">
      <alignment vertical="center"/>
    </xf>
    <xf numFmtId="179" fontId="61" fillId="0" borderId="0" xfId="5" applyNumberFormat="1" applyFont="1" applyAlignment="1">
      <alignment vertical="center"/>
    </xf>
    <xf numFmtId="0" fontId="63" fillId="0" borderId="5" xfId="5" applyFont="1" applyBorder="1" applyAlignment="1">
      <alignment horizontal="left" vertical="center"/>
    </xf>
    <xf numFmtId="0" fontId="63" fillId="0" borderId="0" xfId="5" quotePrefix="1" applyFont="1" applyAlignment="1">
      <alignment horizontal="left" vertical="center"/>
    </xf>
    <xf numFmtId="0" fontId="63" fillId="0" borderId="0" xfId="5" applyFont="1" applyAlignment="1">
      <alignment vertical="center"/>
    </xf>
    <xf numFmtId="0" fontId="60" fillId="0" borderId="0" xfId="5" quotePrefix="1" applyFont="1" applyAlignment="1">
      <alignment horizontal="left" vertical="center"/>
    </xf>
    <xf numFmtId="179" fontId="33" fillId="0" borderId="8" xfId="5" applyNumberFormat="1" applyFont="1" applyBorder="1" applyAlignment="1">
      <alignment vertical="center"/>
    </xf>
    <xf numFmtId="179" fontId="33" fillId="0" borderId="12" xfId="5" applyNumberFormat="1" applyFont="1" applyBorder="1" applyAlignment="1">
      <alignment vertical="center"/>
    </xf>
    <xf numFmtId="179" fontId="33" fillId="7" borderId="6" xfId="5" applyNumberFormat="1" applyFont="1" applyFill="1" applyBorder="1"/>
    <xf numFmtId="0" fontId="33" fillId="7" borderId="0" xfId="5" applyFont="1" applyFill="1" applyAlignment="1">
      <alignment horizontal="center"/>
    </xf>
    <xf numFmtId="0" fontId="55" fillId="0" borderId="0" xfId="5" applyFont="1" applyAlignment="1">
      <alignment horizontal="center"/>
    </xf>
    <xf numFmtId="179" fontId="55" fillId="10" borderId="6" xfId="5" applyNumberFormat="1" applyFont="1" applyFill="1" applyBorder="1"/>
    <xf numFmtId="0" fontId="54" fillId="7" borderId="0" xfId="5" applyFont="1" applyFill="1"/>
    <xf numFmtId="0" fontId="58" fillId="0" borderId="0" xfId="5" applyFont="1" applyAlignment="1">
      <alignment vertical="center"/>
    </xf>
    <xf numFmtId="179" fontId="32" fillId="5" borderId="4" xfId="5" applyNumberFormat="1" applyFont="1" applyFill="1" applyBorder="1" applyAlignment="1">
      <alignment horizontal="right"/>
    </xf>
    <xf numFmtId="179" fontId="65" fillId="0" borderId="0" xfId="5" applyNumberFormat="1" applyFont="1" applyAlignment="1">
      <alignment horizontal="right"/>
    </xf>
    <xf numFmtId="179" fontId="55" fillId="10" borderId="6" xfId="5" applyNumberFormat="1" applyFont="1" applyFill="1" applyBorder="1" applyAlignment="1">
      <alignment vertical="center"/>
    </xf>
    <xf numFmtId="179" fontId="32" fillId="11" borderId="22" xfId="7" applyNumberFormat="1" applyFont="1" applyFill="1" applyBorder="1" applyAlignment="1" applyProtection="1">
      <alignment horizontal="center" vertical="center"/>
    </xf>
    <xf numFmtId="10" fontId="32" fillId="11" borderId="22" xfId="7" applyNumberFormat="1" applyFont="1" applyFill="1" applyBorder="1" applyAlignment="1" applyProtection="1">
      <alignment horizontal="center" vertical="center"/>
    </xf>
    <xf numFmtId="0" fontId="34" fillId="0" borderId="0" xfId="5" applyFont="1" applyAlignment="1">
      <alignment horizontal="right" vertical="center"/>
    </xf>
    <xf numFmtId="0" fontId="20" fillId="0" borderId="10" xfId="13" applyFont="1" applyBorder="1" applyAlignment="1">
      <alignment vertical="center"/>
    </xf>
    <xf numFmtId="0" fontId="20" fillId="0" borderId="0" xfId="13" applyFont="1" applyAlignment="1">
      <alignment horizontal="left" vertical="center"/>
    </xf>
    <xf numFmtId="49" fontId="20" fillId="0" borderId="0" xfId="13" applyNumberFormat="1" applyFont="1" applyAlignment="1">
      <alignment vertical="center"/>
    </xf>
    <xf numFmtId="49" fontId="20" fillId="0" borderId="0" xfId="13" applyNumberFormat="1" applyFont="1" applyAlignment="1">
      <alignment horizontal="left" vertical="center"/>
    </xf>
    <xf numFmtId="0" fontId="25" fillId="0" borderId="0" xfId="13" applyFont="1" applyAlignment="1">
      <alignment vertical="center"/>
    </xf>
    <xf numFmtId="176" fontId="21" fillId="0" borderId="0" xfId="1" applyNumberFormat="1" applyFont="1" applyFill="1" applyAlignment="1"/>
    <xf numFmtId="176" fontId="20" fillId="0" borderId="0" xfId="1" applyNumberFormat="1" applyFont="1" applyFill="1" applyAlignment="1">
      <alignment vertical="center"/>
    </xf>
    <xf numFmtId="176" fontId="66" fillId="0" borderId="0" xfId="1" applyNumberFormat="1" applyFont="1" applyBorder="1" applyAlignment="1" applyProtection="1">
      <alignment horizontal="center"/>
    </xf>
    <xf numFmtId="176" fontId="8" fillId="0" borderId="0" xfId="1" applyNumberFormat="1" applyFont="1" applyFill="1" applyAlignment="1">
      <alignment vertical="center"/>
    </xf>
    <xf numFmtId="176" fontId="21" fillId="0" borderId="0" xfId="1" applyNumberFormat="1" applyFont="1" applyFill="1" applyAlignment="1">
      <alignment vertical="center"/>
    </xf>
    <xf numFmtId="176" fontId="20" fillId="0" borderId="0" xfId="1" applyNumberFormat="1" applyFont="1" applyFill="1" applyAlignment="1"/>
    <xf numFmtId="176" fontId="30" fillId="0" borderId="0" xfId="1" applyNumberFormat="1" applyFont="1"/>
    <xf numFmtId="176" fontId="21" fillId="0" borderId="0" xfId="1" applyNumberFormat="1" applyFont="1" applyAlignment="1"/>
    <xf numFmtId="187" fontId="34" fillId="0" borderId="23" xfId="14" applyNumberFormat="1" applyFont="1" applyFill="1" applyBorder="1" applyAlignment="1">
      <alignment vertical="center"/>
    </xf>
    <xf numFmtId="0" fontId="20" fillId="10" borderId="23" xfId="17" applyFont="1" applyFill="1" applyBorder="1" applyAlignment="1">
      <alignment horizontal="center" vertical="center"/>
    </xf>
    <xf numFmtId="41" fontId="20" fillId="10" borderId="23" xfId="19" applyNumberFormat="1" applyFont="1" applyFill="1" applyBorder="1" applyAlignment="1">
      <alignment vertical="center"/>
    </xf>
    <xf numFmtId="0" fontId="20" fillId="10" borderId="0" xfId="13" applyFont="1" applyFill="1" applyAlignment="1">
      <alignment vertical="center"/>
    </xf>
    <xf numFmtId="176" fontId="20" fillId="10" borderId="0" xfId="1" applyNumberFormat="1" applyFont="1" applyFill="1" applyAlignment="1">
      <alignment vertical="center"/>
    </xf>
    <xf numFmtId="0" fontId="20" fillId="10" borderId="0" xfId="2" applyFont="1" applyFill="1" applyAlignment="1">
      <alignment vertical="center"/>
    </xf>
    <xf numFmtId="49" fontId="20" fillId="10" borderId="23" xfId="16" applyNumberFormat="1" applyFont="1" applyFill="1" applyBorder="1" applyAlignment="1">
      <alignment horizontal="center" vertical="center"/>
    </xf>
    <xf numFmtId="0" fontId="40" fillId="0" borderId="16" xfId="5" applyFont="1" applyBorder="1" applyAlignment="1">
      <alignment horizontal="left" vertical="center"/>
    </xf>
    <xf numFmtId="0" fontId="42" fillId="0" borderId="0" xfId="5" applyFont="1" applyAlignment="1" applyProtection="1">
      <alignment vertical="center"/>
      <protection locked="0"/>
    </xf>
    <xf numFmtId="9" fontId="34" fillId="0" borderId="0" xfId="5" applyNumberFormat="1" applyFont="1" applyAlignment="1">
      <alignment horizontal="left"/>
    </xf>
    <xf numFmtId="180" fontId="40" fillId="0" borderId="0" xfId="5" applyNumberFormat="1" applyFont="1" applyAlignment="1">
      <alignment vertical="center"/>
    </xf>
    <xf numFmtId="0" fontId="57" fillId="0" borderId="0" xfId="5" applyFont="1" applyAlignment="1">
      <alignment vertical="center"/>
    </xf>
    <xf numFmtId="179" fontId="57" fillId="10" borderId="6" xfId="8" applyNumberFormat="1" applyFont="1" applyFill="1" applyBorder="1" applyAlignment="1" applyProtection="1">
      <alignment vertical="center"/>
      <protection locked="0"/>
    </xf>
    <xf numFmtId="185" fontId="68" fillId="0" borderId="0" xfId="5" applyNumberFormat="1" applyFont="1" applyAlignment="1">
      <alignment vertical="center"/>
    </xf>
    <xf numFmtId="9" fontId="57" fillId="0" borderId="0" xfId="5" applyNumberFormat="1" applyFont="1" applyAlignment="1">
      <alignment horizontal="center" vertical="center"/>
    </xf>
    <xf numFmtId="179" fontId="57" fillId="0" borderId="0" xfId="5" applyNumberFormat="1" applyFont="1" applyAlignment="1">
      <alignment vertical="center"/>
    </xf>
    <xf numFmtId="9" fontId="57" fillId="0" borderId="0" xfId="5" applyNumberFormat="1" applyFont="1" applyAlignment="1">
      <alignment vertical="center"/>
    </xf>
    <xf numFmtId="183" fontId="57" fillId="0" borderId="0" xfId="5" applyNumberFormat="1" applyFont="1" applyAlignment="1">
      <alignment horizontal="right" vertical="center"/>
    </xf>
    <xf numFmtId="0" fontId="57" fillId="0" borderId="0" xfId="5" applyFont="1" applyAlignment="1">
      <alignment horizontal="right" vertical="center"/>
    </xf>
    <xf numFmtId="0" fontId="57" fillId="0" borderId="5" xfId="5" applyFont="1" applyBorder="1" applyAlignment="1">
      <alignment horizontal="left" vertical="center"/>
    </xf>
    <xf numFmtId="0" fontId="60" fillId="0" borderId="0" xfId="5" applyFont="1" applyAlignment="1">
      <alignment vertical="center"/>
    </xf>
    <xf numFmtId="179" fontId="42" fillId="0" borderId="6" xfId="5" applyNumberFormat="1" applyFont="1" applyBorder="1" applyAlignment="1">
      <alignment horizontal="right" vertical="center"/>
    </xf>
    <xf numFmtId="0" fontId="42" fillId="0" borderId="5" xfId="5" applyFont="1" applyBorder="1" applyAlignment="1">
      <alignment horizontal="left" vertical="center"/>
    </xf>
    <xf numFmtId="176" fontId="49" fillId="0" borderId="0" xfId="4" applyNumberFormat="1" applyFont="1" applyFill="1" applyBorder="1" applyAlignment="1" applyProtection="1">
      <alignment horizontal="center" vertical="center"/>
    </xf>
    <xf numFmtId="0" fontId="40" fillId="0" borderId="5" xfId="5" applyFont="1" applyBorder="1" applyAlignment="1">
      <alignment horizontal="center" vertical="center"/>
    </xf>
    <xf numFmtId="179" fontId="36" fillId="10" borderId="6" xfId="5" applyNumberFormat="1" applyFont="1" applyFill="1" applyBorder="1"/>
    <xf numFmtId="0" fontId="36" fillId="0" borderId="0" xfId="5" applyFont="1"/>
    <xf numFmtId="179" fontId="34" fillId="0" borderId="6" xfId="5" applyNumberFormat="1" applyFont="1" applyBorder="1" applyAlignment="1">
      <alignment horizontal="right"/>
    </xf>
    <xf numFmtId="179" fontId="70" fillId="0" borderId="0" xfId="5" applyNumberFormat="1" applyFont="1" applyAlignment="1">
      <alignment horizontal="right"/>
    </xf>
    <xf numFmtId="179" fontId="34" fillId="0" borderId="0" xfId="5" applyNumberFormat="1" applyFont="1" applyAlignment="1">
      <alignment horizontal="right"/>
    </xf>
    <xf numFmtId="9" fontId="34" fillId="0" borderId="0" xfId="7" applyFont="1" applyBorder="1" applyAlignment="1" applyProtection="1">
      <alignment horizontal="center"/>
    </xf>
    <xf numFmtId="180" fontId="67" fillId="0" borderId="0" xfId="5" applyNumberFormat="1" applyFont="1" applyAlignment="1">
      <alignment horizontal="right"/>
    </xf>
    <xf numFmtId="0" fontId="67" fillId="0" borderId="0" xfId="5" applyFont="1" applyAlignment="1">
      <alignment horizontal="right"/>
    </xf>
    <xf numFmtId="0" fontId="67" fillId="0" borderId="5" xfId="5" applyFont="1" applyBorder="1"/>
    <xf numFmtId="0" fontId="49" fillId="0" borderId="5" xfId="5" applyFont="1" applyBorder="1" applyAlignment="1">
      <alignment horizontal="left"/>
    </xf>
    <xf numFmtId="179" fontId="40" fillId="0" borderId="12" xfId="5" applyNumberFormat="1" applyFont="1" applyBorder="1"/>
    <xf numFmtId="0" fontId="40" fillId="0" borderId="8" xfId="5" applyFont="1" applyBorder="1"/>
    <xf numFmtId="185" fontId="56" fillId="0" borderId="6" xfId="5" applyNumberFormat="1" applyFont="1" applyBorder="1" applyAlignment="1">
      <alignment horizontal="center"/>
    </xf>
    <xf numFmtId="185" fontId="37" fillId="0" borderId="6" xfId="5" applyNumberFormat="1" applyFont="1" applyBorder="1" applyAlignment="1">
      <alignment horizontal="center"/>
    </xf>
    <xf numFmtId="179" fontId="33" fillId="7" borderId="0" xfId="5" applyNumberFormat="1" applyFont="1" applyFill="1" applyAlignment="1">
      <alignment horizontal="center"/>
    </xf>
    <xf numFmtId="179" fontId="37" fillId="0" borderId="23" xfId="14" applyNumberFormat="1" applyFont="1" applyFill="1" applyBorder="1" applyAlignment="1">
      <alignment vertical="center"/>
    </xf>
    <xf numFmtId="176" fontId="20" fillId="0" borderId="0" xfId="4" applyNumberFormat="1" applyFont="1" applyFill="1" applyAlignment="1">
      <alignment vertical="center"/>
    </xf>
    <xf numFmtId="176" fontId="20" fillId="12" borderId="0" xfId="4" applyNumberFormat="1" applyFont="1" applyFill="1" applyAlignment="1">
      <alignment vertical="center"/>
    </xf>
    <xf numFmtId="186" fontId="37" fillId="0" borderId="0" xfId="13" applyNumberFormat="1" applyFont="1" applyAlignment="1">
      <alignment horizontal="right" vertical="center" wrapText="1"/>
    </xf>
    <xf numFmtId="179" fontId="37" fillId="0" borderId="0" xfId="14" applyNumberFormat="1" applyFont="1" applyFill="1" applyBorder="1" applyAlignment="1">
      <alignment vertical="center"/>
    </xf>
    <xf numFmtId="191" fontId="57" fillId="0" borderId="0" xfId="7" applyNumberFormat="1" applyFont="1" applyBorder="1" applyAlignment="1" applyProtection="1">
      <alignment horizontal="center"/>
    </xf>
    <xf numFmtId="190" fontId="33" fillId="0" borderId="0" xfId="5" applyNumberFormat="1" applyFont="1" applyAlignment="1" applyProtection="1">
      <alignment horizontal="center"/>
      <protection locked="0"/>
    </xf>
    <xf numFmtId="22" fontId="20" fillId="0" borderId="0" xfId="13" applyNumberFormat="1" applyFont="1" applyAlignment="1">
      <alignment vertical="center"/>
    </xf>
    <xf numFmtId="3" fontId="42" fillId="0" borderId="0" xfId="5" applyNumberFormat="1" applyFont="1" applyAlignment="1">
      <alignment horizontal="center" vertical="center"/>
    </xf>
    <xf numFmtId="189" fontId="24" fillId="0" borderId="0" xfId="13" applyNumberFormat="1" applyFont="1" applyAlignment="1">
      <alignment horizontal="center"/>
    </xf>
    <xf numFmtId="188" fontId="25" fillId="0" borderId="0" xfId="13" applyNumberFormat="1" applyFont="1" applyAlignment="1">
      <alignment horizontal="center"/>
    </xf>
    <xf numFmtId="0" fontId="25" fillId="0" borderId="7" xfId="15" applyFont="1" applyBorder="1" applyAlignment="1">
      <alignment horizontal="center" vertical="center"/>
    </xf>
    <xf numFmtId="176" fontId="20" fillId="0" borderId="0" xfId="13" applyNumberFormat="1" applyFont="1" applyAlignment="1">
      <alignment vertical="center"/>
    </xf>
    <xf numFmtId="9" fontId="57" fillId="0" borderId="0" xfId="29" applyFont="1" applyBorder="1" applyAlignment="1" applyProtection="1">
      <alignment horizontal="center"/>
    </xf>
    <xf numFmtId="0" fontId="20" fillId="10" borderId="10" xfId="15" applyFont="1" applyFill="1" applyBorder="1" applyAlignment="1">
      <alignment horizontal="left" vertical="center" wrapText="1"/>
    </xf>
    <xf numFmtId="0" fontId="20" fillId="10" borderId="10" xfId="17" applyFont="1" applyFill="1" applyBorder="1" applyAlignment="1">
      <alignment horizontal="center" vertical="center"/>
    </xf>
    <xf numFmtId="49" fontId="20" fillId="10" borderId="7" xfId="16" applyNumberFormat="1" applyFont="1" applyFill="1" applyBorder="1" applyAlignment="1">
      <alignment horizontal="center" vertical="center"/>
    </xf>
    <xf numFmtId="186" fontId="34" fillId="0" borderId="24" xfId="13" applyNumberFormat="1" applyFont="1" applyBorder="1" applyAlignment="1">
      <alignment horizontal="right" vertical="center" wrapText="1"/>
    </xf>
    <xf numFmtId="185" fontId="43" fillId="0" borderId="6" xfId="5" applyNumberFormat="1" applyFont="1" applyBorder="1" applyAlignment="1">
      <alignment horizontal="center"/>
    </xf>
    <xf numFmtId="180" fontId="33" fillId="0" borderId="0" xfId="5" applyNumberFormat="1" applyFont="1" applyAlignment="1">
      <alignment horizontal="right" wrapText="1"/>
    </xf>
    <xf numFmtId="49" fontId="73" fillId="10" borderId="23" xfId="16" applyNumberFormat="1" applyFont="1" applyFill="1" applyBorder="1" applyAlignment="1">
      <alignment horizontal="center" vertical="center"/>
    </xf>
    <xf numFmtId="0" fontId="73" fillId="0" borderId="0" xfId="13" applyFont="1"/>
    <xf numFmtId="0" fontId="20" fillId="0" borderId="8" xfId="13" applyFont="1" applyBorder="1" applyAlignment="1">
      <alignment horizontal="left"/>
    </xf>
    <xf numFmtId="0" fontId="25" fillId="0" borderId="7" xfId="15" applyFont="1" applyBorder="1" applyAlignment="1">
      <alignment horizontal="center" vertical="center"/>
    </xf>
    <xf numFmtId="0" fontId="25" fillId="0" borderId="22" xfId="15" applyFont="1" applyBorder="1" applyAlignment="1">
      <alignment horizontal="center" vertical="center"/>
    </xf>
    <xf numFmtId="0" fontId="25" fillId="0" borderId="24" xfId="15" applyFont="1" applyBorder="1" applyAlignment="1">
      <alignment horizontal="center" vertical="center"/>
    </xf>
    <xf numFmtId="176" fontId="25" fillId="0" borderId="0" xfId="13" applyNumberFormat="1" applyFont="1" applyAlignment="1">
      <alignment horizontal="center"/>
    </xf>
    <xf numFmtId="188" fontId="25" fillId="0" borderId="0" xfId="13" applyNumberFormat="1" applyFont="1" applyAlignment="1">
      <alignment horizontal="center"/>
    </xf>
    <xf numFmtId="0" fontId="71" fillId="0" borderId="0" xfId="15" applyFont="1" applyAlignment="1">
      <alignment horizontal="center" vertical="center"/>
    </xf>
    <xf numFmtId="0" fontId="71" fillId="0" borderId="1" xfId="15" applyFont="1" applyBorder="1" applyAlignment="1">
      <alignment horizontal="center" vertical="center"/>
    </xf>
    <xf numFmtId="0" fontId="20" fillId="10" borderId="7" xfId="15" applyFont="1" applyFill="1" applyBorder="1" applyAlignment="1">
      <alignment horizontal="left" vertical="center" wrapText="1"/>
    </xf>
    <xf numFmtId="0" fontId="20" fillId="10" borderId="22" xfId="15" applyFont="1" applyFill="1" applyBorder="1" applyAlignment="1">
      <alignment horizontal="left" vertical="center" wrapText="1"/>
    </xf>
    <xf numFmtId="0" fontId="20" fillId="10" borderId="24" xfId="15" applyFont="1" applyFill="1" applyBorder="1" applyAlignment="1">
      <alignment horizontal="left" vertical="center" wrapText="1"/>
    </xf>
    <xf numFmtId="186" fontId="25" fillId="0" borderId="7" xfId="13" applyNumberFormat="1" applyFont="1" applyBorder="1" applyAlignment="1">
      <alignment horizontal="right" vertical="center" wrapText="1"/>
    </xf>
    <xf numFmtId="186" fontId="25" fillId="0" borderId="22" xfId="13" applyNumberFormat="1" applyFont="1" applyBorder="1" applyAlignment="1">
      <alignment horizontal="right" vertical="center" wrapText="1"/>
    </xf>
    <xf numFmtId="186" fontId="25" fillId="0" borderId="24" xfId="13" applyNumberFormat="1" applyFont="1" applyBorder="1" applyAlignment="1">
      <alignment horizontal="right" vertical="center" wrapText="1"/>
    </xf>
    <xf numFmtId="186" fontId="34" fillId="0" borderId="7" xfId="13" applyNumberFormat="1" applyFont="1" applyBorder="1" applyAlignment="1">
      <alignment horizontal="right" vertical="center" wrapText="1"/>
    </xf>
    <xf numFmtId="186" fontId="34" fillId="0" borderId="24" xfId="13" applyNumberFormat="1" applyFont="1" applyBorder="1" applyAlignment="1">
      <alignment horizontal="right" vertical="center" wrapText="1"/>
    </xf>
    <xf numFmtId="0" fontId="21" fillId="0" borderId="0" xfId="13" applyFont="1" applyAlignment="1">
      <alignment vertical="top" wrapText="1"/>
    </xf>
    <xf numFmtId="189" fontId="24" fillId="0" borderId="0" xfId="13" applyNumberFormat="1" applyFont="1" applyAlignment="1">
      <alignment horizontal="center"/>
    </xf>
    <xf numFmtId="0" fontId="21" fillId="10" borderId="7" xfId="15" applyFont="1" applyFill="1" applyBorder="1" applyAlignment="1">
      <alignment horizontal="left" vertical="center" wrapText="1"/>
    </xf>
    <xf numFmtId="0" fontId="21" fillId="10" borderId="22" xfId="15" applyFont="1" applyFill="1" applyBorder="1" applyAlignment="1">
      <alignment horizontal="left" vertical="center" wrapText="1"/>
    </xf>
    <xf numFmtId="0" fontId="21" fillId="10" borderId="24" xfId="15" applyFont="1" applyFill="1" applyBorder="1" applyAlignment="1">
      <alignment horizontal="left" vertical="center" wrapText="1"/>
    </xf>
    <xf numFmtId="37" fontId="20" fillId="0" borderId="0" xfId="16" applyFont="1" applyAlignment="1">
      <alignment horizontal="left"/>
    </xf>
    <xf numFmtId="0" fontId="40" fillId="0" borderId="16" xfId="5" applyFont="1" applyBorder="1" applyAlignment="1" applyProtection="1">
      <alignment vertical="center"/>
      <protection locked="0"/>
    </xf>
    <xf numFmtId="0" fontId="40" fillId="0" borderId="16" xfId="5" applyFont="1" applyBorder="1" applyAlignment="1">
      <alignment vertical="center"/>
    </xf>
    <xf numFmtId="0" fontId="40" fillId="0" borderId="16" xfId="5" applyFont="1" applyBorder="1" applyAlignment="1">
      <alignment horizontal="left" vertical="center"/>
    </xf>
    <xf numFmtId="0" fontId="42" fillId="0" borderId="0" xfId="5" applyFont="1" applyAlignment="1" applyProtection="1">
      <alignment vertical="center"/>
      <protection locked="0"/>
    </xf>
    <xf numFmtId="0" fontId="42" fillId="0" borderId="0" xfId="5" applyFont="1" applyAlignment="1">
      <alignment horizontal="center" vertical="center"/>
    </xf>
    <xf numFmtId="0" fontId="40" fillId="0" borderId="8" xfId="5" applyFont="1" applyBorder="1" applyAlignment="1" applyProtection="1">
      <alignment vertical="center"/>
      <protection locked="0"/>
    </xf>
    <xf numFmtId="0" fontId="40" fillId="0" borderId="8" xfId="5" applyFont="1" applyBorder="1" applyAlignment="1">
      <alignment vertical="center"/>
    </xf>
    <xf numFmtId="49" fontId="42" fillId="4" borderId="14" xfId="5" applyNumberFormat="1" applyFont="1" applyFill="1" applyBorder="1" applyAlignment="1" applyProtection="1">
      <alignment horizontal="left" vertical="center"/>
      <protection locked="0"/>
    </xf>
    <xf numFmtId="0" fontId="42" fillId="4" borderId="14" xfId="5" applyFont="1" applyFill="1" applyBorder="1" applyAlignment="1" applyProtection="1">
      <alignment horizontal="left" vertical="center"/>
      <protection locked="0"/>
    </xf>
    <xf numFmtId="0" fontId="40" fillId="0" borderId="15" xfId="5" applyFont="1" applyBorder="1" applyAlignment="1" applyProtection="1">
      <alignment horizontal="left" vertical="center"/>
      <protection locked="0"/>
    </xf>
    <xf numFmtId="0" fontId="40" fillId="0" borderId="15" xfId="5" applyFont="1" applyBorder="1" applyAlignment="1" applyProtection="1">
      <alignment vertical="center"/>
      <protection locked="0"/>
    </xf>
  </cellXfs>
  <cellStyles count="31">
    <cellStyle name="一般" xfId="0" builtinId="0"/>
    <cellStyle name="一般 2" xfId="11" xr:uid="{00000000-0005-0000-0000-000002000000}"/>
    <cellStyle name="一般 2 2" xfId="15" xr:uid="{00000000-0005-0000-0000-000003000000}"/>
    <cellStyle name="一般 2 2 2" xfId="16" xr:uid="{00000000-0005-0000-0000-000004000000}"/>
    <cellStyle name="一般 3" xfId="21" xr:uid="{00000000-0005-0000-0000-000005000000}"/>
    <cellStyle name="一般 4" xfId="23" xr:uid="{00000000-0005-0000-0000-000006000000}"/>
    <cellStyle name="一般 5" xfId="25" xr:uid="{00000000-0005-0000-0000-000007000000}"/>
    <cellStyle name="一般 6" xfId="27" xr:uid="{00000000-0005-0000-0000-000008000000}"/>
    <cellStyle name="一般_~2392169" xfId="17" xr:uid="{00000000-0005-0000-0000-000009000000}"/>
    <cellStyle name="一般_90 年開立報價單" xfId="3" xr:uid="{00000000-0005-0000-0000-00000A000000}"/>
    <cellStyle name="一般_GIGATEK INC Quotation 020212006-1" xfId="2" xr:uid="{00000000-0005-0000-0000-00000B000000}"/>
    <cellStyle name="一般_GIGATEK INC Quotation 020212006-1_3_License+Consultant Service_HR Quotation(租賃)_威邁思" xfId="13" xr:uid="{00000000-0005-0000-0000-00000C000000}"/>
    <cellStyle name="一般_Quotation20061019-亞耕 FI CO BPI 2" xfId="5" xr:uid="{00000000-0005-0000-0000-00000D000000}"/>
    <cellStyle name="一般_Z400_Z600報價020910v1" xfId="18" xr:uid="{00000000-0005-0000-0000-00000E000000}"/>
    <cellStyle name="一般_東元中壢VM+BL專案_0818(總報價)" xfId="19" xr:uid="{00000000-0005-0000-0000-00000F000000}"/>
    <cellStyle name="千分位" xfId="1" builtinId="3"/>
    <cellStyle name="千分位 2" xfId="4" xr:uid="{00000000-0005-0000-0000-000012000000}"/>
    <cellStyle name="千分位 2 2" xfId="20" xr:uid="{00000000-0005-0000-0000-000013000000}"/>
    <cellStyle name="千分位 3" xfId="10" xr:uid="{00000000-0005-0000-0000-000014000000}"/>
    <cellStyle name="千分位 3 2" xfId="14" xr:uid="{00000000-0005-0000-0000-000015000000}"/>
    <cellStyle name="千分位 4" xfId="12" xr:uid="{00000000-0005-0000-0000-000016000000}"/>
    <cellStyle name="千分位 5" xfId="22" xr:uid="{00000000-0005-0000-0000-000017000000}"/>
    <cellStyle name="千分位 6" xfId="24" xr:uid="{00000000-0005-0000-0000-000018000000}"/>
    <cellStyle name="千分位 7" xfId="26" xr:uid="{00000000-0005-0000-0000-000019000000}"/>
    <cellStyle name="千分位 8" xfId="28" xr:uid="{00000000-0005-0000-0000-00001A000000}"/>
    <cellStyle name="百分比" xfId="29" builtinId="5"/>
    <cellStyle name="百分比 2" xfId="7" xr:uid="{00000000-0005-0000-0000-00001D000000}"/>
    <cellStyle name="貨幣 [0]_Quotation20061019-亞耕 FI CO BPI 2" xfId="8" xr:uid="{00000000-0005-0000-0000-00001E000000}"/>
    <cellStyle name="貨幣 2" xfId="9" xr:uid="{00000000-0005-0000-0000-00001F000000}"/>
    <cellStyle name="超連結_Quotation20061019-亞耕 FI CO BPI" xfId="6" xr:uid="{00000000-0005-0000-0000-000021000000}"/>
    <cellStyle name="樣式 1" xfId="30" xr:uid="{00000000-0005-0000-0000-000022000000}"/>
  </cellStyles>
  <dxfs count="2">
    <dxf>
      <fill>
        <patternFill>
          <bgColor indexed="42"/>
        </patternFill>
      </fill>
    </dxf>
    <dxf>
      <font>
        <b val="0"/>
        <i/>
        <condense val="0"/>
        <extend val="0"/>
      </font>
      <fill>
        <patternFill>
          <bgColor indexed="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3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8BD21D50-EC42-11CE-9E0D-00AA006002F3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8BD21D50-EC42-11CE-9E0D-00AA006002F3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26</xdr:row>
      <xdr:rowOff>6350</xdr:rowOff>
    </xdr:from>
    <xdr:to>
      <xdr:col>3</xdr:col>
      <xdr:colOff>361950</xdr:colOff>
      <xdr:row>32</xdr:row>
      <xdr:rowOff>12700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234950" y="9271000"/>
          <a:ext cx="3352800" cy="123825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5</xdr:col>
      <xdr:colOff>6351</xdr:colOff>
      <xdr:row>7</xdr:row>
      <xdr:rowOff>12700</xdr:rowOff>
    </xdr:from>
    <xdr:to>
      <xdr:col>10</xdr:col>
      <xdr:colOff>0</xdr:colOff>
      <xdr:row>12</xdr:row>
      <xdr:rowOff>38100</xdr:rowOff>
    </xdr:to>
    <xdr:sp macro="" textlink="">
      <xdr:nvSpPr>
        <xdr:cNvPr id="3" name="矩形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784851" y="1263650"/>
          <a:ext cx="4171949" cy="122555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209177</xdr:colOff>
      <xdr:row>7</xdr:row>
      <xdr:rowOff>35112</xdr:rowOff>
    </xdr:from>
    <xdr:to>
      <xdr:col>4</xdr:col>
      <xdr:colOff>381000</xdr:colOff>
      <xdr:row>12</xdr:row>
      <xdr:rowOff>48372</xdr:rowOff>
    </xdr:to>
    <xdr:sp macro="" textlink="">
      <xdr:nvSpPr>
        <xdr:cNvPr id="4" name="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209177" y="1305112"/>
          <a:ext cx="4148511" cy="1211823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oneCellAnchor>
    <xdr:from>
      <xdr:col>2</xdr:col>
      <xdr:colOff>752475</xdr:colOff>
      <xdr:row>1</xdr:row>
      <xdr:rowOff>69850</xdr:rowOff>
    </xdr:from>
    <xdr:ext cx="2595454" cy="830740"/>
    <xdr:sp macro="" textlink="">
      <xdr:nvSpPr>
        <xdr:cNvPr id="5" name="Text Box 2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1444625" y="266700"/>
          <a:ext cx="2595454" cy="8307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27432" tIns="32004" rIns="0" bIns="0" anchor="t" upright="1">
          <a:spAutoFit/>
        </a:bodyPr>
        <a:lstStyle/>
        <a:p>
          <a:pPr algn="l" rtl="0">
            <a:defRPr sz="1000"/>
          </a:pPr>
          <a:r>
            <a:rPr lang="zh-TW" altLang="en-US" sz="1400" b="1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東捷資訊服務股份有限公司</a:t>
          </a:r>
          <a:endParaRPr lang="zh-TW" altLang="en-US" sz="1400" b="0" i="0" u="none" strike="noStrike" baseline="0">
            <a:solidFill>
              <a:srgbClr val="000000"/>
            </a:solidFill>
            <a:latin typeface="微軟正黑體" panose="020B0604030504040204" pitchFamily="34" charset="-120"/>
            <a:ea typeface="微軟正黑體" panose="020B0604030504040204" pitchFamily="34" charset="-120"/>
            <a:cs typeface="Microsoft Sans Serif"/>
          </a:endParaRPr>
        </a:p>
        <a:p>
          <a:pPr algn="l" rtl="0">
            <a:defRPr sz="1000"/>
          </a:pPr>
          <a:r>
            <a:rPr lang="zh-TW" altLang="en-US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台北市南港區三重路</a:t>
          </a:r>
          <a:r>
            <a:rPr lang="en-US" altLang="zh-TW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Microsoft Sans Serif"/>
            </a:rPr>
            <a:t>19-8</a:t>
          </a:r>
          <a:r>
            <a:rPr lang="zh-TW" altLang="en-US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號</a:t>
          </a:r>
          <a:r>
            <a:rPr lang="en-US" altLang="zh-TW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Microsoft Sans Serif"/>
            </a:rPr>
            <a:t>5</a:t>
          </a:r>
          <a:r>
            <a:rPr lang="zh-TW" altLang="en-US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樓</a:t>
          </a:r>
        </a:p>
        <a:p>
          <a:pPr algn="l" rtl="0">
            <a:defRPr sz="1000"/>
          </a:pPr>
          <a:r>
            <a:rPr lang="en-US" altLang="zh-TW" sz="11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Microsoft Sans Serif"/>
            </a:rPr>
            <a:t>Tel:(02) 2655-2525  fax: (02) 2655-1010</a:t>
          </a:r>
        </a:p>
      </xdr:txBody>
    </xdr:sp>
    <xdr:clientData/>
  </xdr:oneCellAnchor>
  <xdr:oneCellAnchor>
    <xdr:from>
      <xdr:col>5</xdr:col>
      <xdr:colOff>0</xdr:colOff>
      <xdr:row>33</xdr:row>
      <xdr:rowOff>0</xdr:rowOff>
    </xdr:from>
    <xdr:ext cx="76200" cy="244475"/>
    <xdr:sp macro="" textlink="">
      <xdr:nvSpPr>
        <xdr:cNvPr id="6" name="Text Box 3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>
          <a:spLocks noChangeArrowheads="1"/>
        </xdr:cNvSpPr>
      </xdr:nvSpPr>
      <xdr:spPr bwMode="auto">
        <a:xfrm>
          <a:off x="5778500" y="10693400"/>
          <a:ext cx="76200" cy="244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1</xdr:col>
      <xdr:colOff>381000</xdr:colOff>
      <xdr:row>6</xdr:row>
      <xdr:rowOff>47625</xdr:rowOff>
    </xdr:from>
    <xdr:to>
      <xdr:col>2</xdr:col>
      <xdr:colOff>669636</xdr:colOff>
      <xdr:row>7</xdr:row>
      <xdr:rowOff>152400</xdr:rowOff>
    </xdr:to>
    <xdr:sp macro="" textlink="">
      <xdr:nvSpPr>
        <xdr:cNvPr id="7" name="文字 52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603250" y="1101725"/>
          <a:ext cx="758536" cy="301625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27432" rIns="36576" bIns="0" anchor="t" upright="1"/>
        <a:lstStyle/>
        <a:p>
          <a:pPr algn="ctr" rtl="0">
            <a:defRPr sz="1000"/>
          </a:pPr>
          <a:r>
            <a:rPr lang="zh-TW" altLang="en-US" sz="1200" b="1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客戶資料</a:t>
          </a:r>
        </a:p>
      </xdr:txBody>
    </xdr:sp>
    <xdr:clientData/>
  </xdr:twoCellAnchor>
  <xdr:twoCellAnchor>
    <xdr:from>
      <xdr:col>1</xdr:col>
      <xdr:colOff>234950</xdr:colOff>
      <xdr:row>1</xdr:row>
      <xdr:rowOff>158750</xdr:rowOff>
    </xdr:from>
    <xdr:to>
      <xdr:col>2</xdr:col>
      <xdr:colOff>546100</xdr:colOff>
      <xdr:row>4</xdr:row>
      <xdr:rowOff>63500</xdr:rowOff>
    </xdr:to>
    <xdr:pic>
      <xdr:nvPicPr>
        <xdr:cNvPr id="8" name="Picture 5" descr="ITTS logo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0" y="355600"/>
          <a:ext cx="781050" cy="419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5</xdr:col>
      <xdr:colOff>0</xdr:colOff>
      <xdr:row>33</xdr:row>
      <xdr:rowOff>0</xdr:rowOff>
    </xdr:from>
    <xdr:ext cx="76200" cy="244475"/>
    <xdr:sp macro="" textlink="">
      <xdr:nvSpPr>
        <xdr:cNvPr id="9" name="Text Box 6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>
          <a:spLocks noChangeArrowheads="1"/>
        </xdr:cNvSpPr>
      </xdr:nvSpPr>
      <xdr:spPr bwMode="auto">
        <a:xfrm>
          <a:off x="5778500" y="10693400"/>
          <a:ext cx="76200" cy="244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19</xdr:row>
      <xdr:rowOff>0</xdr:rowOff>
    </xdr:from>
    <xdr:ext cx="76200" cy="247072"/>
    <xdr:sp macro="" textlink="">
      <xdr:nvSpPr>
        <xdr:cNvPr id="10" name="Text Box 7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 bwMode="auto">
        <a:xfrm>
          <a:off x="5778500" y="8020050"/>
          <a:ext cx="76200" cy="24707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5</xdr:col>
      <xdr:colOff>231775</xdr:colOff>
      <xdr:row>1</xdr:row>
      <xdr:rowOff>44451</xdr:rowOff>
    </xdr:from>
    <xdr:to>
      <xdr:col>11</xdr:col>
      <xdr:colOff>111140</xdr:colOff>
      <xdr:row>4</xdr:row>
      <xdr:rowOff>69851</xdr:rowOff>
    </xdr:to>
    <xdr:sp macro="" textlink="">
      <xdr:nvSpPr>
        <xdr:cNvPr id="11" name="文字 3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>
          <a:spLocks noChangeArrowheads="1"/>
        </xdr:cNvSpPr>
      </xdr:nvSpPr>
      <xdr:spPr bwMode="auto">
        <a:xfrm>
          <a:off x="6010275" y="241301"/>
          <a:ext cx="4279915" cy="5397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  <xdr:txBody>
        <a:bodyPr vertOverflow="clip" wrap="square" lIns="45720" tIns="32004" rIns="45720" bIns="32004" anchor="ctr" upright="1"/>
        <a:lstStyle/>
        <a:p>
          <a:pPr algn="ctr" rtl="0">
            <a:defRPr sz="1000"/>
          </a:pPr>
          <a:r>
            <a:rPr lang="zh-TW" altLang="en-US" sz="2200" b="1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報價單</a:t>
          </a:r>
          <a:r>
            <a:rPr lang="zh-TW" altLang="en-US" sz="2000" b="0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Microsoft Sans Serif"/>
            </a:rPr>
            <a:t> </a:t>
          </a:r>
        </a:p>
      </xdr:txBody>
    </xdr:sp>
    <xdr:clientData/>
  </xdr:twoCellAnchor>
  <xdr:twoCellAnchor>
    <xdr:from>
      <xdr:col>2</xdr:col>
      <xdr:colOff>20135</xdr:colOff>
      <xdr:row>25</xdr:row>
      <xdr:rowOff>14941</xdr:rowOff>
    </xdr:from>
    <xdr:to>
      <xdr:col>2</xdr:col>
      <xdr:colOff>738585</xdr:colOff>
      <xdr:row>26</xdr:row>
      <xdr:rowOff>104587</xdr:rowOff>
    </xdr:to>
    <xdr:sp macro="" textlink="">
      <xdr:nvSpPr>
        <xdr:cNvPr id="12" name="文字 5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>
          <a:spLocks noChangeArrowheads="1"/>
        </xdr:cNvSpPr>
      </xdr:nvSpPr>
      <xdr:spPr bwMode="auto">
        <a:xfrm>
          <a:off x="712285" y="9076391"/>
          <a:ext cx="718450" cy="292846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27432" rIns="36576" bIns="0" anchor="t" upright="1"/>
        <a:lstStyle/>
        <a:p>
          <a:pPr algn="ctr" rtl="0">
            <a:defRPr sz="1000"/>
          </a:pPr>
          <a:r>
            <a:rPr lang="zh-TW" altLang="en-US" sz="1200" b="1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專案資料</a:t>
          </a:r>
        </a:p>
      </xdr:txBody>
    </xdr:sp>
    <xdr:clientData/>
  </xdr:twoCellAnchor>
  <xdr:twoCellAnchor>
    <xdr:from>
      <xdr:col>5</xdr:col>
      <xdr:colOff>388502</xdr:colOff>
      <xdr:row>6</xdr:row>
      <xdr:rowOff>32038</xdr:rowOff>
    </xdr:from>
    <xdr:to>
      <xdr:col>7</xdr:col>
      <xdr:colOff>138544</xdr:colOff>
      <xdr:row>7</xdr:row>
      <xdr:rowOff>136813</xdr:rowOff>
    </xdr:to>
    <xdr:sp macro="" textlink="">
      <xdr:nvSpPr>
        <xdr:cNvPr id="13" name="文字 5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>
          <a:spLocks noChangeArrowheads="1"/>
        </xdr:cNvSpPr>
      </xdr:nvSpPr>
      <xdr:spPr bwMode="auto">
        <a:xfrm>
          <a:off x="6167002" y="1086138"/>
          <a:ext cx="842242" cy="301625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27432" rIns="36576" bIns="0" anchor="t" upright="1"/>
        <a:lstStyle/>
        <a:p>
          <a:pPr algn="ctr" rtl="0">
            <a:defRPr sz="1000"/>
          </a:pPr>
          <a:r>
            <a:rPr lang="zh-TW" altLang="en-US" sz="1200" b="1" i="0" u="none" strike="noStrike" baseline="0">
              <a:solidFill>
                <a:srgbClr val="000000"/>
              </a:solidFill>
              <a:latin typeface="微軟正黑體" panose="020B0604030504040204" pitchFamily="34" charset="-120"/>
              <a:ea typeface="微軟正黑體" panose="020B0604030504040204" pitchFamily="34" charset="-120"/>
            </a:rPr>
            <a:t>廠商資料</a:t>
          </a:r>
        </a:p>
      </xdr:txBody>
    </xdr:sp>
    <xdr:clientData/>
  </xdr:twoCellAnchor>
  <xdr:oneCellAnchor>
    <xdr:from>
      <xdr:col>5</xdr:col>
      <xdr:colOff>0</xdr:colOff>
      <xdr:row>19</xdr:row>
      <xdr:rowOff>0</xdr:rowOff>
    </xdr:from>
    <xdr:ext cx="76200" cy="247072"/>
    <xdr:sp macro="" textlink="">
      <xdr:nvSpPr>
        <xdr:cNvPr id="14" name="Text Box 7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>
          <a:spLocks noChangeArrowheads="1"/>
        </xdr:cNvSpPr>
      </xdr:nvSpPr>
      <xdr:spPr bwMode="auto">
        <a:xfrm>
          <a:off x="5778500" y="8020050"/>
          <a:ext cx="76200" cy="24707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76200" cy="234950"/>
    <xdr:sp macro="" textlink="">
      <xdr:nvSpPr>
        <xdr:cNvPr id="15" name="Text Box 3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>
          <a:spLocks noChangeArrowheads="1"/>
        </xdr:cNvSpPr>
      </xdr:nvSpPr>
      <xdr:spPr bwMode="auto">
        <a:xfrm>
          <a:off x="5778500" y="10693400"/>
          <a:ext cx="76200" cy="234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76200" cy="234950"/>
    <xdr:sp macro="" textlink="">
      <xdr:nvSpPr>
        <xdr:cNvPr id="16" name="Text Box 6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>
          <a:spLocks noChangeArrowheads="1"/>
        </xdr:cNvSpPr>
      </xdr:nvSpPr>
      <xdr:spPr bwMode="auto">
        <a:xfrm>
          <a:off x="5778500" y="10693400"/>
          <a:ext cx="76200" cy="234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27213</xdr:colOff>
      <xdr:row>21</xdr:row>
      <xdr:rowOff>9071</xdr:rowOff>
    </xdr:from>
    <xdr:ext cx="76200" cy="247072"/>
    <xdr:sp macro="" textlink="">
      <xdr:nvSpPr>
        <xdr:cNvPr id="17" name="Text Box 7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>
          <a:spLocks noChangeArrowheads="1"/>
        </xdr:cNvSpPr>
      </xdr:nvSpPr>
      <xdr:spPr bwMode="auto">
        <a:xfrm>
          <a:off x="5923642" y="7411357"/>
          <a:ext cx="76200" cy="24707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95</xdr:row>
      <xdr:rowOff>6350</xdr:rowOff>
    </xdr:from>
    <xdr:to>
      <xdr:col>1</xdr:col>
      <xdr:colOff>368300</xdr:colOff>
      <xdr:row>95</xdr:row>
      <xdr:rowOff>6350</xdr:rowOff>
    </xdr:to>
    <xdr:sp macro="" textlink="">
      <xdr:nvSpPr>
        <xdr:cNvPr id="2" name="Lin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ShapeType="1"/>
        </xdr:cNvSpPr>
      </xdr:nvSpPr>
      <xdr:spPr bwMode="auto">
        <a:xfrm>
          <a:off x="19050" y="23266400"/>
          <a:ext cx="9588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19050</xdr:colOff>
      <xdr:row>98</xdr:row>
      <xdr:rowOff>6350</xdr:rowOff>
    </xdr:from>
    <xdr:to>
      <xdr:col>1</xdr:col>
      <xdr:colOff>368300</xdr:colOff>
      <xdr:row>98</xdr:row>
      <xdr:rowOff>6350</xdr:rowOff>
    </xdr:to>
    <xdr:sp macro="" textlink="">
      <xdr:nvSpPr>
        <xdr:cNvPr id="3" name="Line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ShapeType="1"/>
        </xdr:cNvSpPr>
      </xdr:nvSpPr>
      <xdr:spPr bwMode="auto">
        <a:xfrm>
          <a:off x="19050" y="23895050"/>
          <a:ext cx="9588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171450</xdr:colOff>
      <xdr:row>98</xdr:row>
      <xdr:rowOff>0</xdr:rowOff>
    </xdr:from>
    <xdr:to>
      <xdr:col>3</xdr:col>
      <xdr:colOff>419100</xdr:colOff>
      <xdr:row>98</xdr:row>
      <xdr:rowOff>0</xdr:rowOff>
    </xdr:to>
    <xdr:sp macro="" textlink="">
      <xdr:nvSpPr>
        <xdr:cNvPr id="4" name="Lin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ShapeType="1"/>
        </xdr:cNvSpPr>
      </xdr:nvSpPr>
      <xdr:spPr bwMode="auto">
        <a:xfrm>
          <a:off x="1390650" y="23888700"/>
          <a:ext cx="8572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19050</xdr:colOff>
      <xdr:row>95</xdr:row>
      <xdr:rowOff>6350</xdr:rowOff>
    </xdr:from>
    <xdr:to>
      <xdr:col>1</xdr:col>
      <xdr:colOff>615950</xdr:colOff>
      <xdr:row>95</xdr:row>
      <xdr:rowOff>6350</xdr:rowOff>
    </xdr:to>
    <xdr:sp macro="" textlink="">
      <xdr:nvSpPr>
        <xdr:cNvPr id="5" name="Line 6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19050" y="23266400"/>
          <a:ext cx="119697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19050</xdr:colOff>
      <xdr:row>98</xdr:row>
      <xdr:rowOff>6350</xdr:rowOff>
    </xdr:from>
    <xdr:to>
      <xdr:col>1</xdr:col>
      <xdr:colOff>368300</xdr:colOff>
      <xdr:row>98</xdr:row>
      <xdr:rowOff>6350</xdr:rowOff>
    </xdr:to>
    <xdr:sp macro="" textlink="">
      <xdr:nvSpPr>
        <xdr:cNvPr id="6" name="Line 7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ShapeType="1"/>
        </xdr:cNvSpPr>
      </xdr:nvSpPr>
      <xdr:spPr bwMode="auto">
        <a:xfrm>
          <a:off x="19050" y="23895050"/>
          <a:ext cx="9588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19050</xdr:colOff>
      <xdr:row>98</xdr:row>
      <xdr:rowOff>6350</xdr:rowOff>
    </xdr:from>
    <xdr:to>
      <xdr:col>1</xdr:col>
      <xdr:colOff>635000</xdr:colOff>
      <xdr:row>98</xdr:row>
      <xdr:rowOff>6350</xdr:rowOff>
    </xdr:to>
    <xdr:sp macro="" textlink="">
      <xdr:nvSpPr>
        <xdr:cNvPr id="7" name="Line 8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ShapeType="1"/>
        </xdr:cNvSpPr>
      </xdr:nvSpPr>
      <xdr:spPr bwMode="auto">
        <a:xfrm>
          <a:off x="19050" y="23895050"/>
          <a:ext cx="119697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177800</xdr:colOff>
      <xdr:row>95</xdr:row>
      <xdr:rowOff>6350</xdr:rowOff>
    </xdr:from>
    <xdr:to>
      <xdr:col>3</xdr:col>
      <xdr:colOff>412750</xdr:colOff>
      <xdr:row>95</xdr:row>
      <xdr:rowOff>6350</xdr:rowOff>
    </xdr:to>
    <xdr:sp macro="" textlink="">
      <xdr:nvSpPr>
        <xdr:cNvPr id="8" name="Line 9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>
          <a:spLocks noChangeShapeType="1"/>
        </xdr:cNvSpPr>
      </xdr:nvSpPr>
      <xdr:spPr bwMode="auto">
        <a:xfrm>
          <a:off x="1397000" y="23266400"/>
          <a:ext cx="8445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171450</xdr:colOff>
      <xdr:row>95</xdr:row>
      <xdr:rowOff>6350</xdr:rowOff>
    </xdr:from>
    <xdr:to>
      <xdr:col>6</xdr:col>
      <xdr:colOff>323850</xdr:colOff>
      <xdr:row>95</xdr:row>
      <xdr:rowOff>6350</xdr:rowOff>
    </xdr:to>
    <xdr:sp macro="" textlink="">
      <xdr:nvSpPr>
        <xdr:cNvPr id="9" name="Line 10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ChangeShapeType="1"/>
        </xdr:cNvSpPr>
      </xdr:nvSpPr>
      <xdr:spPr bwMode="auto">
        <a:xfrm>
          <a:off x="2609850" y="23266400"/>
          <a:ext cx="13716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673100</xdr:colOff>
      <xdr:row>95</xdr:row>
      <xdr:rowOff>6350</xdr:rowOff>
    </xdr:from>
    <xdr:to>
      <xdr:col>7</xdr:col>
      <xdr:colOff>889000</xdr:colOff>
      <xdr:row>95</xdr:row>
      <xdr:rowOff>6350</xdr:rowOff>
    </xdr:to>
    <xdr:sp macro="" textlink="">
      <xdr:nvSpPr>
        <xdr:cNvPr id="10" name="Line 11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>
          <a:spLocks noChangeShapeType="1"/>
        </xdr:cNvSpPr>
      </xdr:nvSpPr>
      <xdr:spPr bwMode="auto">
        <a:xfrm>
          <a:off x="4264025" y="23266400"/>
          <a:ext cx="6159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127000</xdr:colOff>
      <xdr:row>95</xdr:row>
      <xdr:rowOff>6350</xdr:rowOff>
    </xdr:from>
    <xdr:to>
      <xdr:col>7</xdr:col>
      <xdr:colOff>914400</xdr:colOff>
      <xdr:row>95</xdr:row>
      <xdr:rowOff>6350</xdr:rowOff>
    </xdr:to>
    <xdr:sp macro="" textlink="">
      <xdr:nvSpPr>
        <xdr:cNvPr id="11" name="Line 12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>
          <a:spLocks noChangeShapeType="1"/>
        </xdr:cNvSpPr>
      </xdr:nvSpPr>
      <xdr:spPr bwMode="auto">
        <a:xfrm>
          <a:off x="4394200" y="23266400"/>
          <a:ext cx="4826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158750</xdr:colOff>
      <xdr:row>98</xdr:row>
      <xdr:rowOff>0</xdr:rowOff>
    </xdr:from>
    <xdr:to>
      <xdr:col>6</xdr:col>
      <xdr:colOff>311150</xdr:colOff>
      <xdr:row>98</xdr:row>
      <xdr:rowOff>0</xdr:rowOff>
    </xdr:to>
    <xdr:sp macro="" textlink="">
      <xdr:nvSpPr>
        <xdr:cNvPr id="12" name="Line 13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>
          <a:spLocks noChangeShapeType="1"/>
        </xdr:cNvSpPr>
      </xdr:nvSpPr>
      <xdr:spPr bwMode="auto">
        <a:xfrm>
          <a:off x="2597150" y="23888700"/>
          <a:ext cx="13716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673100</xdr:colOff>
      <xdr:row>95</xdr:row>
      <xdr:rowOff>6350</xdr:rowOff>
    </xdr:from>
    <xdr:to>
      <xdr:col>7</xdr:col>
      <xdr:colOff>889000</xdr:colOff>
      <xdr:row>95</xdr:row>
      <xdr:rowOff>6350</xdr:rowOff>
    </xdr:to>
    <xdr:sp macro="" textlink="">
      <xdr:nvSpPr>
        <xdr:cNvPr id="13" name="Line 14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>
          <a:spLocks noChangeShapeType="1"/>
        </xdr:cNvSpPr>
      </xdr:nvSpPr>
      <xdr:spPr bwMode="auto">
        <a:xfrm>
          <a:off x="4264025" y="23266400"/>
          <a:ext cx="6159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673100</xdr:colOff>
      <xdr:row>98</xdr:row>
      <xdr:rowOff>12700</xdr:rowOff>
    </xdr:from>
    <xdr:to>
      <xdr:col>7</xdr:col>
      <xdr:colOff>882650</xdr:colOff>
      <xdr:row>98</xdr:row>
      <xdr:rowOff>12700</xdr:rowOff>
    </xdr:to>
    <xdr:sp macro="" textlink="">
      <xdr:nvSpPr>
        <xdr:cNvPr id="14" name="Line 15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>
          <a:spLocks noChangeShapeType="1"/>
        </xdr:cNvSpPr>
      </xdr:nvSpPr>
      <xdr:spPr bwMode="auto">
        <a:xfrm>
          <a:off x="4264025" y="23901400"/>
          <a:ext cx="6096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266700</xdr:colOff>
          <xdr:row>2</xdr:row>
          <xdr:rowOff>69850</xdr:rowOff>
        </xdr:from>
        <xdr:to>
          <xdr:col>1</xdr:col>
          <xdr:colOff>463550</xdr:colOff>
          <xdr:row>3</xdr:row>
          <xdr:rowOff>38100</xdr:rowOff>
        </xdr:to>
        <xdr:sp macro="" textlink="">
          <xdr:nvSpPr>
            <xdr:cNvPr id="54279" name="OptionButton1" hidden="1">
              <a:extLst>
                <a:ext uri="{63B3BB69-23CF-44E3-9099-C40C66FF867C}">
                  <a14:compatExt spid="_x0000_s54279"/>
                </a:ext>
                <a:ext uri="{FF2B5EF4-FFF2-40B4-BE49-F238E27FC236}">
                  <a16:creationId xmlns:a16="http://schemas.microsoft.com/office/drawing/2014/main" id="{00000000-0008-0000-0100-000007D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</xdr:row>
          <xdr:rowOff>69850</xdr:rowOff>
        </xdr:from>
        <xdr:to>
          <xdr:col>4</xdr:col>
          <xdr:colOff>196850</xdr:colOff>
          <xdr:row>3</xdr:row>
          <xdr:rowOff>38100</xdr:rowOff>
        </xdr:to>
        <xdr:sp macro="" textlink="">
          <xdr:nvSpPr>
            <xdr:cNvPr id="54280" name="OptionButton2" hidden="1">
              <a:extLst>
                <a:ext uri="{63B3BB69-23CF-44E3-9099-C40C66FF867C}">
                  <a14:compatExt spid="_x0000_s54280"/>
                </a:ext>
                <a:ext uri="{FF2B5EF4-FFF2-40B4-BE49-F238E27FC236}">
                  <a16:creationId xmlns:a16="http://schemas.microsoft.com/office/drawing/2014/main" id="{00000000-0008-0000-0100-000008D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37504;&#34892;&#36024;&#27454;&#31649;&#29702;&#34920;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0.1.23\&#32147;&#29151;&#31649;&#29702;&#32068;\TEMP\Macintosh%20HDOpenMail%20Client\Linked%20Documents\f&amp;v%20pricing-%20deleted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0.1.23\&#32147;&#29151;&#31649;&#29702;&#32068;\windows\TEMP\MC&#22577;&#20729;&#21934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0.1.23\&#32147;&#29151;&#31649;&#29702;&#32068;\6_&#32147;&#29151;&#31649;&#29702;&#32068;-SAP&#36575;&#39636;&#37559;&#21806;\201909_(SAP)&#20581;&#21932;&#20449;&#20803;SAP&#37559;&#21806;&#26696;&#20998;&#19977;&#24180;&#26696;(Gloria)\&#20581;&#21932;&#20449;&#20803;SAP&#36575;&#39636;&#37559;&#21806;&#26696;&#38928;&#20272;&#25613;&#30410;&#34920;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I310331\Desktop\Copy%20of%20Price_List_BSNWBO_2015_2_v10_Direct_Taiwan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0.1.23\&#32147;&#29151;&#31649;&#29702;&#32068;\TEMP\Avid%20Xpress%20for%20Windows%20NT%20November%2099%20Preliminary%20for%20Europe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0.1.23\&#32147;&#29151;&#31649;&#29702;&#32068;\TEMP\Media%20Composer%20US%20July%20199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自訂貸款管理表"/>
      <sheetName val="貸款管理資料"/>
      <sheetName val="貸款償付攤銷表"/>
      <sheetName val="統計圖"/>
      <sheetName val="Macros"/>
      <sheetName val="Lock"/>
      <sheetName val="ChgLoan"/>
      <sheetName val="Intl Data Table"/>
      <sheetName val="銀行貸款管理表1"/>
    </sheetNames>
    <sheetDataSet>
      <sheetData sheetId="0">
        <row r="7">
          <cell r="H7" t="str">
            <v>將滑鼠移至此處</v>
          </cell>
        </row>
        <row r="8">
          <cell r="H8" t="str">
            <v>可獲得提示說明</v>
          </cell>
        </row>
        <row r="10">
          <cell r="D10" t="str">
            <v>請輸入個人資料...</v>
          </cell>
        </row>
        <row r="12">
          <cell r="E12" t="str">
            <v>姓名</v>
          </cell>
          <cell r="F12" t="str">
            <v>姓名</v>
          </cell>
          <cell r="G12" t="str">
            <v>電話</v>
          </cell>
          <cell r="H12" t="str">
            <v>768-8581</v>
          </cell>
        </row>
        <row r="13">
          <cell r="E13" t="str">
            <v>地址</v>
          </cell>
          <cell r="F13" t="str">
            <v>住址</v>
          </cell>
          <cell r="G13" t="str">
            <v>傳真</v>
          </cell>
          <cell r="H13" t="str">
            <v>756-3920</v>
          </cell>
        </row>
        <row r="14">
          <cell r="E14" t="str">
            <v>郵遞區號</v>
          </cell>
          <cell r="F14" t="str">
            <v>郵遞區號</v>
          </cell>
        </row>
        <row r="17">
          <cell r="D17" t="str">
            <v>貸款管理表的基本資料設定...</v>
          </cell>
        </row>
        <row r="19">
          <cell r="E19" t="str">
            <v>請輸入貸款明細表內列示的期數：</v>
          </cell>
          <cell r="G19">
            <v>48</v>
          </cell>
          <cell r="H19" t="str">
            <v xml:space="preserve">  期數 (不可超過720期)</v>
          </cell>
        </row>
        <row r="22">
          <cell r="D22" t="str">
            <v>格式化資料</v>
          </cell>
        </row>
      </sheetData>
      <sheetData sheetId="1"/>
      <sheetData sheetId="2"/>
      <sheetData sheetId="3"/>
      <sheetData sheetId="4" refreshError="1"/>
      <sheetData sheetId="5"/>
      <sheetData sheetId="6"/>
      <sheetData sheetId="7">
        <row r="3">
          <cell r="A3" t="str">
            <v>Sheet Name</v>
          </cell>
          <cell r="B3" t="str">
            <v>Cell Address</v>
          </cell>
          <cell r="C3" t="str">
            <v>Action Code</v>
          </cell>
          <cell r="D3">
            <v>-999</v>
          </cell>
          <cell r="E3">
            <v>44</v>
          </cell>
          <cell r="F3">
            <v>2</v>
          </cell>
          <cell r="G3">
            <v>61</v>
          </cell>
          <cell r="H3">
            <v>64</v>
          </cell>
          <cell r="I3">
            <v>353</v>
          </cell>
          <cell r="J3">
            <v>785</v>
          </cell>
          <cell r="K3">
            <v>43</v>
          </cell>
          <cell r="L3">
            <v>86</v>
          </cell>
          <cell r="M3">
            <v>45</v>
          </cell>
          <cell r="N3">
            <v>33</v>
          </cell>
          <cell r="O3">
            <v>49</v>
          </cell>
          <cell r="P3">
            <v>972</v>
          </cell>
          <cell r="Q3">
            <v>39</v>
          </cell>
          <cell r="R3">
            <v>81</v>
          </cell>
          <cell r="S3">
            <v>82</v>
          </cell>
          <cell r="T3">
            <v>352</v>
          </cell>
          <cell r="U3">
            <v>31</v>
          </cell>
          <cell r="V3">
            <v>47</v>
          </cell>
          <cell r="W3">
            <v>27</v>
          </cell>
          <cell r="X3">
            <v>34</v>
          </cell>
          <cell r="Y3">
            <v>46</v>
          </cell>
          <cell r="Z3">
            <v>41</v>
          </cell>
          <cell r="AA3">
            <v>886</v>
          </cell>
          <cell r="AB3">
            <v>58</v>
          </cell>
        </row>
        <row r="4">
          <cell r="A4" t="str">
            <v>Loan Data</v>
          </cell>
          <cell r="B4" t="str">
            <v>F16</v>
          </cell>
          <cell r="C4">
            <v>2</v>
          </cell>
          <cell r="D4" t="str">
            <v>$#,##0.00_);("$"#,##0.00)</v>
          </cell>
          <cell r="E4" t="str">
            <v>?,##0.00_);("?#,##0.00)</v>
          </cell>
          <cell r="F4" t="str">
            <v>$#,##0.00_);("$"#,##0.00)</v>
          </cell>
          <cell r="G4" t="str">
            <v>$#,##0.00_);("$"#,##0.00)</v>
          </cell>
          <cell r="H4" t="str">
            <v>$#,##0.00_);("$"#,##0.00)</v>
          </cell>
          <cell r="I4" t="str">
            <v>IR?,##0.00_);("IR?#,##0.00)</v>
          </cell>
          <cell r="J4" t="str">
            <v>#,##0.00_);(#,##0.00)</v>
          </cell>
          <cell r="K4" t="str">
            <v>烿 #.##0,00_);("烿 "#.##0,00)</v>
          </cell>
          <cell r="L4" t="str">
            <v>#,##0.00_);(#,##0.00)</v>
          </cell>
          <cell r="M4" t="str">
            <v>kr #.##0,00_);("kr "#.##0,00)</v>
          </cell>
          <cell r="N4" t="str">
            <v>#.##0,00 "F"_);(#.##0,00 "F")</v>
          </cell>
          <cell r="O4" t="str">
            <v>#.##0,00 "DM"_);(#.##0,00 "DM")</v>
          </cell>
          <cell r="P4" t="str">
            <v>#,##0.00_D_M_);(#,##0.00_D_M)</v>
          </cell>
          <cell r="Q4" t="str">
            <v>L. #.##0,00_);("L. "#.##0,00)</v>
          </cell>
          <cell r="R4" t="str">
            <v>?,##0.00_);("?#,##0.00)</v>
          </cell>
          <cell r="S4" t="str">
            <v>#,##0.00_D_M_);(#,##0.00_D_M)</v>
          </cell>
          <cell r="T4" t="str">
            <v>#.##0,00 "F"_);(#.##0,00 "F")</v>
          </cell>
          <cell r="U4" t="str">
            <v>F #.##0,00_);("F "#.##0,00)</v>
          </cell>
          <cell r="V4" t="str">
            <v>kr # ##0,00_);("kr "# ##0,00)</v>
          </cell>
          <cell r="W4" t="str">
            <v>R #,##0.00_);("R "#,##0.00)</v>
          </cell>
          <cell r="X4" t="str">
            <v>#.##0,00 "Pts"_);(#.##0,00 "Pts")</v>
          </cell>
          <cell r="Y4" t="str">
            <v># ##0,00 "kr"_);(# ##0,00 "kr")</v>
          </cell>
          <cell r="Z4" t="str">
            <v>SFr. #'##0.00_);("SFr. "#'##0.00)</v>
          </cell>
          <cell r="AA4" t="str">
            <v>#,##0.00_D_M_);(#,##0.00_D_M)</v>
          </cell>
          <cell r="AB4" t="str">
            <v>Bs #.##0,00_);("Bs "#.##0,00)</v>
          </cell>
        </row>
        <row r="5">
          <cell r="A5" t="str">
            <v>Loan Data</v>
          </cell>
          <cell r="B5" t="str">
            <v>I20:I21</v>
          </cell>
          <cell r="C5">
            <v>2</v>
          </cell>
          <cell r="D5" t="str">
            <v>$#,##0.00_);("$"#,##0.00)</v>
          </cell>
          <cell r="E5" t="str">
            <v>?,##0.00_);("?#,##0.00)</v>
          </cell>
          <cell r="F5" t="str">
            <v>$#,##0.00_);("$"#,##0.00)</v>
          </cell>
          <cell r="G5" t="str">
            <v>$#,##0.00_);("$"#,##0.00)</v>
          </cell>
          <cell r="H5" t="str">
            <v>$#,##0.00_);("$"#,##0.00)</v>
          </cell>
          <cell r="I5" t="str">
            <v>IR?,##0.00_);("IR?#,##0.00)</v>
          </cell>
          <cell r="J5" t="str">
            <v>#,##0.00_);(#,##0.00)</v>
          </cell>
          <cell r="K5" t="str">
            <v>烿 #.##0,00_);("烿 "#.##0,00)</v>
          </cell>
          <cell r="L5" t="str">
            <v>#,##0.00_);(#,##0.00)</v>
          </cell>
          <cell r="M5" t="str">
            <v>kr #.##0,00_);("kr "#.##0,00)</v>
          </cell>
          <cell r="N5" t="str">
            <v>#.##0,00 "F"_);(#.##0,00 "F")</v>
          </cell>
          <cell r="O5" t="str">
            <v>#.##0,00 "DM"_);(#.##0,00 "DM")</v>
          </cell>
          <cell r="P5" t="str">
            <v>#,##0.00_D_M_);(#,##0.00_D_M)</v>
          </cell>
          <cell r="Q5" t="str">
            <v>L. #.##0,00_);("L. "#.##0,00)</v>
          </cell>
          <cell r="R5" t="str">
            <v>?,##0.00_);("?#,##0.00)</v>
          </cell>
          <cell r="S5" t="str">
            <v>#,##0.00_D_M_);(#,##0.00_D_M)</v>
          </cell>
          <cell r="T5" t="str">
            <v>#.##0,00 "F"_);(#.##0,00 "F")</v>
          </cell>
          <cell r="U5" t="str">
            <v>F #.##0,00_);("F "#.##0,00)</v>
          </cell>
          <cell r="V5" t="str">
            <v>kr # ##0,00_);("kr "# ##0,00)</v>
          </cell>
          <cell r="W5" t="str">
            <v>R #,##0.00_);("R "#,##0.00)</v>
          </cell>
          <cell r="X5" t="str">
            <v>#.##0,00 "Pts"_);(#.##0,00 "Pts")</v>
          </cell>
          <cell r="Y5" t="str">
            <v># ##0,00 "kr"_);(# ##0,00 "kr")</v>
          </cell>
          <cell r="Z5" t="str">
            <v>SFr. #'##0.00_);("SFr. "#'##0.00)</v>
          </cell>
          <cell r="AA5" t="str">
            <v>#,##0.00_D_M_);(#,##0.00_D_M)</v>
          </cell>
          <cell r="AB5" t="str">
            <v>Bs #.##0,00_);("Bs "#.##0,00)</v>
          </cell>
        </row>
        <row r="6">
          <cell r="A6" t="str">
            <v>Loan Data</v>
          </cell>
          <cell r="B6" t="str">
            <v>I23</v>
          </cell>
          <cell r="C6">
            <v>2</v>
          </cell>
          <cell r="D6" t="str">
            <v>$#,##0.00_);("$"#,##0.00)</v>
          </cell>
          <cell r="E6" t="str">
            <v>?,##0.00_);("?#,##0.00)</v>
          </cell>
          <cell r="F6" t="str">
            <v>$#,##0.00_);("$"#,##0.00)</v>
          </cell>
          <cell r="G6" t="str">
            <v>$#,##0.00_);("$"#,##0.00)</v>
          </cell>
          <cell r="H6" t="str">
            <v>$#,##0.00_);("$"#,##0.00)</v>
          </cell>
          <cell r="I6" t="str">
            <v>IR?,##0.00_);("IR?#,##0.00)</v>
          </cell>
          <cell r="J6" t="str">
            <v>#,##0.00_);(#,##0.00)</v>
          </cell>
          <cell r="K6" t="str">
            <v>烿 #.##0,00_);("烿 "#.##0,00)</v>
          </cell>
          <cell r="L6" t="str">
            <v>#,##0.00_);(#,##0.00)</v>
          </cell>
          <cell r="M6" t="str">
            <v>kr #.##0,00_);("kr "#.##0,00)</v>
          </cell>
          <cell r="N6" t="str">
            <v>#.##0,00 "F"_);(#.##0,00 "F")</v>
          </cell>
          <cell r="O6" t="str">
            <v>#.##0,00 "DM"_);(#.##0,00 "DM")</v>
          </cell>
          <cell r="P6" t="str">
            <v>#,##0.00_D_M_);(#,##0.00_D_M)</v>
          </cell>
          <cell r="Q6" t="str">
            <v>L. #.##0,00_);("L. "#.##0,00)</v>
          </cell>
          <cell r="R6" t="str">
            <v>?,##0.00_);("?#,##0.00)</v>
          </cell>
          <cell r="S6" t="str">
            <v>#,##0.00_D_M_);(#,##0.00_D_M)</v>
          </cell>
          <cell r="T6" t="str">
            <v>#.##0,00 "F"_);(#.##0,00 "F")</v>
          </cell>
          <cell r="U6" t="str">
            <v>F #.##0,00_);("F "#.##0,00)</v>
          </cell>
          <cell r="V6" t="str">
            <v>kr # ##0,00_);("kr "# ##0,00)</v>
          </cell>
          <cell r="W6" t="str">
            <v>R #,##0.00_);("R "#,##0.00)</v>
          </cell>
          <cell r="X6" t="str">
            <v>#.##0,00 "Pts"_);(#.##0,00 "Pts")</v>
          </cell>
          <cell r="Y6" t="str">
            <v># ##0,00 "kr"_);(# ##0,00 "kr")</v>
          </cell>
          <cell r="Z6" t="str">
            <v>SFr. #'##0.00_);("SFr. "#'##0.00)</v>
          </cell>
          <cell r="AA6" t="str">
            <v>#,##0.00_D_M_);(#,##0.00_D_M)</v>
          </cell>
          <cell r="AB6" t="str">
            <v>Bs #.##0,00_);("Bs "#.##0,00)</v>
          </cell>
        </row>
        <row r="7">
          <cell r="A7" t="str">
            <v>Loan Data</v>
          </cell>
          <cell r="B7" t="str">
            <v>F23</v>
          </cell>
          <cell r="C7">
            <v>2</v>
          </cell>
          <cell r="D7" t="str">
            <v>$#,##0.00_);("$"#,##0.00)</v>
          </cell>
          <cell r="E7" t="str">
            <v>?,##0.00_);("?#,##0.00)</v>
          </cell>
          <cell r="F7" t="str">
            <v>$#,##0.00_);("$"#,##0.00)</v>
          </cell>
          <cell r="G7" t="str">
            <v>$#,##0.00_);("$"#,##0.00)</v>
          </cell>
          <cell r="H7" t="str">
            <v>$#,##0.00_);("$"#,##0.00)</v>
          </cell>
          <cell r="I7" t="str">
            <v>IR?,##0.00_);("IR?#,##0.00)</v>
          </cell>
          <cell r="J7" t="str">
            <v>#,##0.00_);(#,##0.00)</v>
          </cell>
          <cell r="K7" t="str">
            <v>烿 #.##0,00_);("烿 "#.##0,00)</v>
          </cell>
          <cell r="L7" t="str">
            <v>#,##0.00_);(#,##0.00)</v>
          </cell>
          <cell r="M7" t="str">
            <v>kr #.##0,00_);("kr "#.##0,00)</v>
          </cell>
          <cell r="N7" t="str">
            <v>#.##0,00 "F"_);(#.##0,00 "F")</v>
          </cell>
          <cell r="O7" t="str">
            <v>#.##0,00 "DM"_);(#.##0,00 "DM")</v>
          </cell>
          <cell r="P7" t="str">
            <v>#,##0.00_D_M_);(#,##0.00_D_M)</v>
          </cell>
          <cell r="Q7" t="str">
            <v>L. #.##0,00_);("L. "#.##0,00)</v>
          </cell>
          <cell r="R7" t="str">
            <v>?,##0.00_);("?#,##0.00)</v>
          </cell>
          <cell r="S7" t="str">
            <v>#,##0.00_D_M_);(#,##0.00_D_M)</v>
          </cell>
          <cell r="T7" t="str">
            <v>#.##0,00 "F"_);(#.##0,00 "F")</v>
          </cell>
          <cell r="U7" t="str">
            <v>F #.##0,00_);("F "#.##0,00)</v>
          </cell>
          <cell r="V7" t="str">
            <v>kr # ##0,00_);("kr "# ##0,00)</v>
          </cell>
          <cell r="W7" t="str">
            <v>R #,##0.00_);("R "#,##0.00)</v>
          </cell>
          <cell r="X7" t="str">
            <v>#.##0,00 "Pts"_);(#.##0,00 "Pts")</v>
          </cell>
          <cell r="Y7" t="str">
            <v># ##0,00 "kr"_);(# ##0,00 "kr")</v>
          </cell>
          <cell r="Z7" t="str">
            <v>SFr. #'##0.00_);("SFr. "#'##0.00)</v>
          </cell>
          <cell r="AA7" t="str">
            <v>#,##0.00_D_M_);(#,##0.00_D_M)</v>
          </cell>
          <cell r="AB7" t="str">
            <v>Bs #.##0,00_);("Bs "#.##0,00)</v>
          </cell>
        </row>
        <row r="8">
          <cell r="A8" t="str">
            <v>Loan Data</v>
          </cell>
          <cell r="B8" t="str">
            <v>A1</v>
          </cell>
          <cell r="C8">
            <v>4</v>
          </cell>
          <cell r="D8">
            <v>1</v>
          </cell>
          <cell r="E8">
            <v>9</v>
          </cell>
          <cell r="F8">
            <v>1</v>
          </cell>
          <cell r="G8">
            <v>9</v>
          </cell>
          <cell r="H8">
            <v>9</v>
          </cell>
          <cell r="I8">
            <v>9</v>
          </cell>
          <cell r="J8">
            <v>9</v>
          </cell>
          <cell r="K8">
            <v>9</v>
          </cell>
          <cell r="L8">
            <v>9</v>
          </cell>
          <cell r="M8">
            <v>9</v>
          </cell>
          <cell r="N8">
            <v>9</v>
          </cell>
          <cell r="O8">
            <v>9</v>
          </cell>
          <cell r="P8">
            <v>9</v>
          </cell>
          <cell r="Q8">
            <v>9</v>
          </cell>
          <cell r="R8">
            <v>9</v>
          </cell>
          <cell r="S8">
            <v>9</v>
          </cell>
          <cell r="T8">
            <v>9</v>
          </cell>
          <cell r="U8">
            <v>9</v>
          </cell>
          <cell r="V8">
            <v>9</v>
          </cell>
          <cell r="W8">
            <v>9</v>
          </cell>
          <cell r="X8">
            <v>9</v>
          </cell>
          <cell r="Y8">
            <v>9</v>
          </cell>
          <cell r="Z8">
            <v>9</v>
          </cell>
          <cell r="AA8">
            <v>9</v>
          </cell>
          <cell r="AB8">
            <v>9</v>
          </cell>
        </row>
        <row r="9">
          <cell r="A9" t="str">
            <v>Loan Amortization Table</v>
          </cell>
          <cell r="B9" t="str">
            <v>A1</v>
          </cell>
          <cell r="C9">
            <v>4</v>
          </cell>
          <cell r="D9">
            <v>1</v>
          </cell>
          <cell r="E9">
            <v>9</v>
          </cell>
          <cell r="F9">
            <v>1</v>
          </cell>
          <cell r="G9">
            <v>9</v>
          </cell>
          <cell r="H9">
            <v>9</v>
          </cell>
          <cell r="I9">
            <v>9</v>
          </cell>
          <cell r="J9">
            <v>9</v>
          </cell>
          <cell r="K9">
            <v>9</v>
          </cell>
          <cell r="L9">
            <v>9</v>
          </cell>
          <cell r="M9">
            <v>9</v>
          </cell>
          <cell r="N9">
            <v>9</v>
          </cell>
          <cell r="O9">
            <v>9</v>
          </cell>
          <cell r="P9">
            <v>9</v>
          </cell>
          <cell r="Q9">
            <v>9</v>
          </cell>
          <cell r="R9">
            <v>9</v>
          </cell>
          <cell r="S9">
            <v>9</v>
          </cell>
          <cell r="T9">
            <v>9</v>
          </cell>
          <cell r="U9">
            <v>9</v>
          </cell>
          <cell r="V9">
            <v>9</v>
          </cell>
          <cell r="W9">
            <v>9</v>
          </cell>
          <cell r="X9">
            <v>9</v>
          </cell>
          <cell r="Y9">
            <v>9</v>
          </cell>
          <cell r="Z9">
            <v>9</v>
          </cell>
          <cell r="AA9">
            <v>9</v>
          </cell>
          <cell r="AB9">
            <v>9</v>
          </cell>
        </row>
        <row r="10">
          <cell r="A10" t="str">
            <v>Summary Graph</v>
          </cell>
          <cell r="B10" t="str">
            <v>A1</v>
          </cell>
          <cell r="C10">
            <v>4</v>
          </cell>
          <cell r="D10">
            <v>1</v>
          </cell>
          <cell r="E10">
            <v>9</v>
          </cell>
          <cell r="F10">
            <v>1</v>
          </cell>
          <cell r="G10">
            <v>9</v>
          </cell>
          <cell r="H10">
            <v>9</v>
          </cell>
          <cell r="I10">
            <v>9</v>
          </cell>
          <cell r="J10">
            <v>9</v>
          </cell>
          <cell r="K10">
            <v>9</v>
          </cell>
          <cell r="L10">
            <v>9</v>
          </cell>
          <cell r="M10">
            <v>9</v>
          </cell>
          <cell r="N10">
            <v>9</v>
          </cell>
          <cell r="O10">
            <v>9</v>
          </cell>
          <cell r="P10">
            <v>9</v>
          </cell>
          <cell r="Q10">
            <v>9</v>
          </cell>
          <cell r="R10">
            <v>9</v>
          </cell>
          <cell r="S10">
            <v>9</v>
          </cell>
          <cell r="T10">
            <v>9</v>
          </cell>
          <cell r="U10">
            <v>9</v>
          </cell>
          <cell r="V10">
            <v>9</v>
          </cell>
          <cell r="W10">
            <v>9</v>
          </cell>
          <cell r="X10">
            <v>9</v>
          </cell>
          <cell r="Y10">
            <v>9</v>
          </cell>
          <cell r="Z10">
            <v>9</v>
          </cell>
          <cell r="AA10">
            <v>9</v>
          </cell>
          <cell r="AB10">
            <v>9</v>
          </cell>
        </row>
      </sheetData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Parts and Descriptions"/>
      <sheetName val="Tables"/>
      <sheetName val="MC and FC Pricing"/>
      <sheetName val="Support Pricing"/>
    </sheetNames>
    <sheetDataSet>
      <sheetData sheetId="0" refreshError="1">
        <row r="35">
          <cell r="E35" t="str">
            <v>0010-00396-01</v>
          </cell>
          <cell r="G35" t="str">
            <v>Kit, Core, FC, 6.5.x</v>
          </cell>
          <cell r="H35" t="str">
            <v>Includes software and docs</v>
          </cell>
        </row>
        <row r="166">
          <cell r="E166" t="str">
            <v>0070-00442-01</v>
          </cell>
          <cell r="G166" t="str">
            <v>Cbl, wide-to-narrow SCSI adapter, Ultra compatible</v>
          </cell>
          <cell r="H166" t="str">
            <v>Cable which connects narrow drives to fast, wide SCSI card</v>
          </cell>
        </row>
        <row r="237">
          <cell r="E237" t="str">
            <v>0510-00382-01</v>
          </cell>
          <cell r="G237" t="str">
            <v>Kit, MCX, Mac, 3DFX, Reseller Demo Upgrade</v>
          </cell>
          <cell r="H237" t="str">
            <v>Requires MCXpress RT 1.5.1, not for resale</v>
          </cell>
        </row>
        <row r="238">
          <cell r="E238" t="str">
            <v>0100-xxxxx-01</v>
          </cell>
          <cell r="G238" t="str">
            <v>SFW, MCX Reseller Demo</v>
          </cell>
          <cell r="H238" t="str">
            <v>Not for resale</v>
          </cell>
        </row>
      </sheetData>
      <sheetData sheetId="1" refreshError="1">
        <row r="4">
          <cell r="B4">
            <v>17995</v>
          </cell>
        </row>
        <row r="5">
          <cell r="B5">
            <v>22995</v>
          </cell>
        </row>
        <row r="6">
          <cell r="B6">
            <v>34200</v>
          </cell>
        </row>
        <row r="7">
          <cell r="B7">
            <v>39200</v>
          </cell>
        </row>
        <row r="8">
          <cell r="B8">
            <v>23625</v>
          </cell>
        </row>
        <row r="9">
          <cell r="B9">
            <v>28625</v>
          </cell>
        </row>
        <row r="10">
          <cell r="B10">
            <v>53530</v>
          </cell>
        </row>
        <row r="11">
          <cell r="B11">
            <v>55530</v>
          </cell>
        </row>
        <row r="12">
          <cell r="B12">
            <v>9000</v>
          </cell>
        </row>
        <row r="13">
          <cell r="B13">
            <v>9995</v>
          </cell>
        </row>
        <row r="14">
          <cell r="B14">
            <v>14995</v>
          </cell>
        </row>
        <row r="15">
          <cell r="B15">
            <v>22495</v>
          </cell>
        </row>
        <row r="16">
          <cell r="B16">
            <v>32495</v>
          </cell>
        </row>
        <row r="17">
          <cell r="B17">
            <v>30300</v>
          </cell>
        </row>
        <row r="18">
          <cell r="B18">
            <v>35300</v>
          </cell>
        </row>
        <row r="19">
          <cell r="B19">
            <v>39525</v>
          </cell>
        </row>
        <row r="20">
          <cell r="B20">
            <v>44525</v>
          </cell>
        </row>
        <row r="21">
          <cell r="B21">
            <v>54525</v>
          </cell>
        </row>
        <row r="22">
          <cell r="B22">
            <v>59525</v>
          </cell>
        </row>
        <row r="23">
          <cell r="B23">
            <v>61625</v>
          </cell>
        </row>
        <row r="24">
          <cell r="B24">
            <v>76625</v>
          </cell>
        </row>
        <row r="25">
          <cell r="B25">
            <v>66225</v>
          </cell>
        </row>
        <row r="26">
          <cell r="B26">
            <v>81225</v>
          </cell>
        </row>
        <row r="27">
          <cell r="B27">
            <v>25200</v>
          </cell>
        </row>
        <row r="28">
          <cell r="B28">
            <v>26400</v>
          </cell>
        </row>
        <row r="29">
          <cell r="B29">
            <v>22000</v>
          </cell>
        </row>
        <row r="30">
          <cell r="B30">
            <v>24300</v>
          </cell>
        </row>
        <row r="33">
          <cell r="B33">
            <v>15000</v>
          </cell>
        </row>
      </sheetData>
      <sheetData sheetId="2" refreshError="1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page "/>
      <sheetName val="Table of Contents"/>
      <sheetName val="MC XL Features"/>
      <sheetName val="Family Comparison"/>
      <sheetName val="MC 9000 XL NT"/>
      <sheetName val="MC 9000 XL Mac"/>
      <sheetName val="MC 1000 XL 報價NT"/>
      <sheetName val="MC 1000 XL 報價 MAC"/>
      <sheetName val="MC XL NT Cost"/>
      <sheetName val="MC XL NT Add-ons"/>
      <sheetName val="How to ..."/>
      <sheetName val="MC XL Mac Order Sheet"/>
      <sheetName val="MC XL Mac Add-ons"/>
      <sheetName val="MC Offline XL NRT Order Sheet"/>
      <sheetName val="Avid FX for Media Composer"/>
      <sheetName val="Support Price List"/>
      <sheetName val="Ed Services Products"/>
      <sheetName val="Upgrade Paths &amp; Pricing"/>
      <sheetName val="Misc Upgrades XL"/>
      <sheetName val="Misc Add-ons"/>
      <sheetName val="Competitive Trade-up"/>
      <sheetName val="customer trade-in "/>
      <sheetName val="reseller trade-in"/>
      <sheetName val="Trade-in Order Sheet"/>
      <sheetName val="Return Order Checklist"/>
      <sheetName val="Reseller Demos"/>
      <sheetName val="MC and FC Notes"/>
      <sheetName val="Master Parts and Descrip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貸款分期償還計畫表"/>
      <sheetName val="利息試算"/>
      <sheetName val="ITTS試算-"/>
      <sheetName val="SAP-Gloria0917"/>
      <sheetName val="客戶資料"/>
      <sheetName val="專案損益(P&amp;L)表"/>
      <sheetName val="合約付款條件"/>
      <sheetName val="Sales-P&amp;L"/>
    </sheetNames>
    <sheetDataSet>
      <sheetData sheetId="0">
        <row r="1">
          <cell r="A1" t="str">
            <v>貸款分期償還計畫表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A3">
            <v>0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</row>
        <row r="4">
          <cell r="A4">
            <v>0</v>
          </cell>
          <cell r="B4" t="str">
            <v>請輸入數值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 t="str">
            <v>貸款摘要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 t="str">
            <v>貸款金額</v>
          </cell>
          <cell r="D5">
            <v>4700000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 t="str">
            <v>分期付款額</v>
          </cell>
          <cell r="J5">
            <v>867608.25211583287</v>
          </cell>
        </row>
        <row r="6">
          <cell r="A6">
            <v>0</v>
          </cell>
          <cell r="B6">
            <v>0</v>
          </cell>
          <cell r="C6" t="str">
            <v>年利率</v>
          </cell>
          <cell r="D6">
            <v>0.03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 t="str">
            <v>分期付款次數</v>
          </cell>
          <cell r="J6">
            <v>6</v>
          </cell>
        </row>
        <row r="7">
          <cell r="A7">
            <v>0</v>
          </cell>
          <cell r="B7">
            <v>0</v>
          </cell>
          <cell r="C7" t="str">
            <v>貸款年限</v>
          </cell>
          <cell r="D7">
            <v>6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 t="str">
            <v>實際付款次數</v>
          </cell>
          <cell r="J7">
            <v>6</v>
          </cell>
        </row>
        <row r="8">
          <cell r="A8">
            <v>0</v>
          </cell>
          <cell r="B8">
            <v>0</v>
          </cell>
          <cell r="C8" t="str">
            <v>每年付款次數</v>
          </cell>
          <cell r="D8">
            <v>1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 t="str">
            <v>提早付款總額</v>
          </cell>
          <cell r="J8">
            <v>0</v>
          </cell>
        </row>
        <row r="9">
          <cell r="A9">
            <v>0</v>
          </cell>
          <cell r="B9">
            <v>0</v>
          </cell>
          <cell r="C9" t="str">
            <v>貸款起始日</v>
          </cell>
          <cell r="D9">
            <v>42552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 t="str">
            <v>利息總額</v>
          </cell>
          <cell r="J9">
            <v>505649.51269499742</v>
          </cell>
        </row>
        <row r="10">
          <cell r="A10">
            <v>0</v>
          </cell>
          <cell r="B10">
            <v>0</v>
          </cell>
          <cell r="C10" t="str">
            <v>選擇性額外付款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</row>
        <row r="12">
          <cell r="A12">
            <v>0</v>
          </cell>
          <cell r="B12" t="str">
            <v>貸方名稱: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A16" t="str">
            <v>付款編號</v>
          </cell>
          <cell r="B16" t="str">
            <v>付款日期</v>
          </cell>
          <cell r="C16" t="str">
            <v>期初餘額</v>
          </cell>
          <cell r="D16" t="str">
            <v>分期付款額</v>
          </cell>
          <cell r="E16" t="str">
            <v>額外付款</v>
          </cell>
          <cell r="F16" t="str">
            <v>付款總額</v>
          </cell>
          <cell r="G16" t="str">
            <v>本金</v>
          </cell>
          <cell r="H16" t="str">
            <v>利息</v>
          </cell>
          <cell r="I16" t="str">
            <v>期末餘額</v>
          </cell>
          <cell r="J16" t="str">
            <v>累計利息</v>
          </cell>
        </row>
        <row r="17">
          <cell r="A17">
            <v>0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A18">
            <v>1</v>
          </cell>
          <cell r="B18">
            <v>42917</v>
          </cell>
          <cell r="C18">
            <v>4700000</v>
          </cell>
          <cell r="D18">
            <v>867608.25211583287</v>
          </cell>
          <cell r="E18">
            <v>0</v>
          </cell>
          <cell r="F18">
            <v>867608.25211583287</v>
          </cell>
          <cell r="G18">
            <v>726608.25211583287</v>
          </cell>
          <cell r="H18">
            <v>141000</v>
          </cell>
          <cell r="I18">
            <v>3973391.7478841674</v>
          </cell>
          <cell r="J18">
            <v>141000</v>
          </cell>
        </row>
        <row r="19">
          <cell r="A19">
            <v>2</v>
          </cell>
          <cell r="B19">
            <v>43282</v>
          </cell>
          <cell r="C19">
            <v>3973391.7478841674</v>
          </cell>
          <cell r="D19">
            <v>867608.25211583287</v>
          </cell>
          <cell r="E19">
            <v>0</v>
          </cell>
          <cell r="F19">
            <v>867608.25211583287</v>
          </cell>
          <cell r="G19">
            <v>748406.49967930792</v>
          </cell>
          <cell r="H19">
            <v>119201.75243652501</v>
          </cell>
          <cell r="I19">
            <v>3224985.2482048594</v>
          </cell>
          <cell r="J19">
            <v>260201.75243652501</v>
          </cell>
        </row>
        <row r="20">
          <cell r="A20">
            <v>3</v>
          </cell>
          <cell r="B20">
            <v>43647</v>
          </cell>
          <cell r="C20">
            <v>3224985.2482048594</v>
          </cell>
          <cell r="D20">
            <v>867608.25211583287</v>
          </cell>
          <cell r="E20">
            <v>0</v>
          </cell>
          <cell r="F20">
            <v>867608.25211583287</v>
          </cell>
          <cell r="G20">
            <v>770858.69466968707</v>
          </cell>
          <cell r="H20">
            <v>96749.557446145773</v>
          </cell>
          <cell r="I20">
            <v>2454126.5535351723</v>
          </cell>
          <cell r="J20">
            <v>356951.30988267076</v>
          </cell>
        </row>
        <row r="21">
          <cell r="A21">
            <v>4</v>
          </cell>
          <cell r="B21">
            <v>44013</v>
          </cell>
          <cell r="C21">
            <v>2454126.5535351723</v>
          </cell>
          <cell r="D21">
            <v>867608.25211583287</v>
          </cell>
          <cell r="E21">
            <v>0</v>
          </cell>
          <cell r="F21">
            <v>867608.25211583287</v>
          </cell>
          <cell r="G21">
            <v>793984.45550977765</v>
          </cell>
          <cell r="H21">
            <v>73623.79660605517</v>
          </cell>
          <cell r="I21">
            <v>1660142.0980253946</v>
          </cell>
          <cell r="J21">
            <v>430575.10648872593</v>
          </cell>
        </row>
        <row r="22">
          <cell r="A22">
            <v>5</v>
          </cell>
          <cell r="B22">
            <v>44378</v>
          </cell>
          <cell r="C22">
            <v>1660142.0980253946</v>
          </cell>
          <cell r="D22">
            <v>867608.25211583287</v>
          </cell>
          <cell r="E22">
            <v>0</v>
          </cell>
          <cell r="F22">
            <v>867608.25211583287</v>
          </cell>
          <cell r="G22">
            <v>817803.98917507101</v>
          </cell>
          <cell r="H22">
            <v>49804.262940761837</v>
          </cell>
          <cell r="I22">
            <v>842338.1088503236</v>
          </cell>
          <cell r="J22">
            <v>480379.36942948774</v>
          </cell>
        </row>
        <row r="23">
          <cell r="A23">
            <v>6</v>
          </cell>
          <cell r="B23">
            <v>44743</v>
          </cell>
          <cell r="C23">
            <v>842338.1088503236</v>
          </cell>
          <cell r="D23">
            <v>867608.25211583287</v>
          </cell>
          <cell r="E23">
            <v>0</v>
          </cell>
          <cell r="F23">
            <v>842338.1088503236</v>
          </cell>
          <cell r="G23">
            <v>817067.96558481385</v>
          </cell>
          <cell r="H23">
            <v>25270.143265509709</v>
          </cell>
          <cell r="I23">
            <v>0</v>
          </cell>
          <cell r="J23">
            <v>505649.51269499742</v>
          </cell>
        </row>
        <row r="24">
          <cell r="A24">
            <v>7</v>
          </cell>
          <cell r="B24">
            <v>45108</v>
          </cell>
          <cell r="C24">
            <v>0</v>
          </cell>
          <cell r="D24">
            <v>867608.25211583287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505649.51269499742</v>
          </cell>
        </row>
        <row r="25">
          <cell r="A25">
            <v>8</v>
          </cell>
          <cell r="B25">
            <v>45474</v>
          </cell>
          <cell r="C25">
            <v>0</v>
          </cell>
          <cell r="D25">
            <v>867608.25211583287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505649.51269499742</v>
          </cell>
        </row>
        <row r="26">
          <cell r="A26">
            <v>9</v>
          </cell>
          <cell r="B26">
            <v>45839</v>
          </cell>
          <cell r="C26">
            <v>0</v>
          </cell>
          <cell r="D26">
            <v>867608.25211583287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505649.51269499742</v>
          </cell>
        </row>
        <row r="27">
          <cell r="A27">
            <v>10</v>
          </cell>
          <cell r="B27">
            <v>46204</v>
          </cell>
          <cell r="C27">
            <v>0</v>
          </cell>
          <cell r="D27">
            <v>867608.25211583287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505649.51269499742</v>
          </cell>
        </row>
        <row r="28">
          <cell r="A28">
            <v>11</v>
          </cell>
          <cell r="B28">
            <v>46569</v>
          </cell>
          <cell r="C28">
            <v>0</v>
          </cell>
          <cell r="D28">
            <v>867608.25211583287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505649.51269499742</v>
          </cell>
        </row>
        <row r="29">
          <cell r="A29">
            <v>12</v>
          </cell>
          <cell r="B29">
            <v>46935</v>
          </cell>
          <cell r="C29">
            <v>0</v>
          </cell>
          <cell r="D29">
            <v>867608.25211583287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505649.51269499742</v>
          </cell>
        </row>
        <row r="30">
          <cell r="A30">
            <v>13</v>
          </cell>
          <cell r="B30">
            <v>47300</v>
          </cell>
          <cell r="C30">
            <v>0</v>
          </cell>
          <cell r="D30">
            <v>867608.25211583287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505649.51269499742</v>
          </cell>
        </row>
        <row r="31">
          <cell r="A31">
            <v>14</v>
          </cell>
          <cell r="B31">
            <v>47665</v>
          </cell>
          <cell r="C31">
            <v>0</v>
          </cell>
          <cell r="D31">
            <v>867608.25211583287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505649.51269499742</v>
          </cell>
        </row>
        <row r="32">
          <cell r="A32">
            <v>15</v>
          </cell>
          <cell r="B32">
            <v>48030</v>
          </cell>
          <cell r="C32">
            <v>0</v>
          </cell>
          <cell r="D32">
            <v>867608.25211583287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505649.51269499742</v>
          </cell>
        </row>
        <row r="33">
          <cell r="A33">
            <v>16</v>
          </cell>
          <cell r="B33">
            <v>48396</v>
          </cell>
          <cell r="C33">
            <v>0</v>
          </cell>
          <cell r="D33">
            <v>867608.25211583287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505649.51269499742</v>
          </cell>
        </row>
        <row r="34">
          <cell r="A34">
            <v>17</v>
          </cell>
          <cell r="B34">
            <v>48761</v>
          </cell>
          <cell r="C34">
            <v>0</v>
          </cell>
          <cell r="D34">
            <v>867608.25211583287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505649.51269499742</v>
          </cell>
        </row>
        <row r="35">
          <cell r="A35">
            <v>18</v>
          </cell>
          <cell r="B35">
            <v>49126</v>
          </cell>
          <cell r="C35">
            <v>0</v>
          </cell>
          <cell r="D35">
            <v>867608.25211583287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505649.51269499742</v>
          </cell>
        </row>
        <row r="36">
          <cell r="A36">
            <v>19</v>
          </cell>
          <cell r="B36">
            <v>49491</v>
          </cell>
          <cell r="C36">
            <v>0</v>
          </cell>
          <cell r="D36">
            <v>867608.25211583287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505649.51269499742</v>
          </cell>
        </row>
        <row r="37">
          <cell r="A37">
            <v>20</v>
          </cell>
          <cell r="B37">
            <v>49857</v>
          </cell>
          <cell r="C37">
            <v>0</v>
          </cell>
          <cell r="D37">
            <v>867608.25211583287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505649.51269499742</v>
          </cell>
        </row>
        <row r="38">
          <cell r="A38">
            <v>21</v>
          </cell>
          <cell r="B38">
            <v>50222</v>
          </cell>
          <cell r="C38">
            <v>0</v>
          </cell>
          <cell r="D38">
            <v>867608.25211583287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505649.51269499742</v>
          </cell>
        </row>
        <row r="39">
          <cell r="A39">
            <v>22</v>
          </cell>
          <cell r="B39">
            <v>50587</v>
          </cell>
          <cell r="C39">
            <v>0</v>
          </cell>
          <cell r="D39">
            <v>867608.25211583287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505649.51269499742</v>
          </cell>
        </row>
        <row r="40">
          <cell r="A40">
            <v>23</v>
          </cell>
          <cell r="B40">
            <v>50952</v>
          </cell>
          <cell r="C40">
            <v>0</v>
          </cell>
          <cell r="D40">
            <v>867608.25211583287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505649.51269499742</v>
          </cell>
        </row>
        <row r="41">
          <cell r="A41">
            <v>24</v>
          </cell>
          <cell r="B41">
            <v>51318</v>
          </cell>
          <cell r="C41">
            <v>0</v>
          </cell>
          <cell r="D41">
            <v>867608.25211583287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505649.51269499742</v>
          </cell>
        </row>
        <row r="42">
          <cell r="A42">
            <v>25</v>
          </cell>
          <cell r="B42">
            <v>51683</v>
          </cell>
          <cell r="C42">
            <v>0</v>
          </cell>
          <cell r="D42">
            <v>867608.25211583287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505649.51269499742</v>
          </cell>
        </row>
        <row r="43">
          <cell r="A43">
            <v>26</v>
          </cell>
          <cell r="B43">
            <v>52048</v>
          </cell>
          <cell r="C43">
            <v>0</v>
          </cell>
          <cell r="D43">
            <v>867608.25211583287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505649.51269499742</v>
          </cell>
        </row>
        <row r="44">
          <cell r="A44">
            <v>27</v>
          </cell>
          <cell r="B44">
            <v>52413</v>
          </cell>
          <cell r="C44">
            <v>0</v>
          </cell>
          <cell r="D44">
            <v>867608.25211583287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505649.51269499742</v>
          </cell>
        </row>
        <row r="45">
          <cell r="A45">
            <v>28</v>
          </cell>
          <cell r="B45">
            <v>52779</v>
          </cell>
          <cell r="C45">
            <v>0</v>
          </cell>
          <cell r="D45">
            <v>867608.25211583287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505649.51269499742</v>
          </cell>
        </row>
        <row r="46">
          <cell r="A46">
            <v>29</v>
          </cell>
          <cell r="B46">
            <v>53144</v>
          </cell>
          <cell r="C46">
            <v>0</v>
          </cell>
          <cell r="D46">
            <v>867608.25211583287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505649.51269499742</v>
          </cell>
        </row>
        <row r="47">
          <cell r="A47">
            <v>30</v>
          </cell>
          <cell r="B47">
            <v>53509</v>
          </cell>
          <cell r="C47">
            <v>0</v>
          </cell>
          <cell r="D47">
            <v>867608.25211583287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505649.51269499742</v>
          </cell>
        </row>
        <row r="48">
          <cell r="A48">
            <v>31</v>
          </cell>
          <cell r="B48">
            <v>53874</v>
          </cell>
          <cell r="C48">
            <v>0</v>
          </cell>
          <cell r="D48">
            <v>867608.25211583287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505649.51269499742</v>
          </cell>
        </row>
        <row r="49">
          <cell r="A49">
            <v>32</v>
          </cell>
          <cell r="B49">
            <v>54240</v>
          </cell>
          <cell r="C49">
            <v>0</v>
          </cell>
          <cell r="D49">
            <v>867608.25211583287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505649.51269499742</v>
          </cell>
        </row>
        <row r="50">
          <cell r="A50">
            <v>33</v>
          </cell>
          <cell r="B50">
            <v>54605</v>
          </cell>
          <cell r="C50">
            <v>0</v>
          </cell>
          <cell r="D50">
            <v>867608.25211583287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505649.51269499742</v>
          </cell>
        </row>
        <row r="51">
          <cell r="A51">
            <v>34</v>
          </cell>
          <cell r="B51">
            <v>54970</v>
          </cell>
          <cell r="C51">
            <v>0</v>
          </cell>
          <cell r="D51">
            <v>867608.25211583287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505649.51269499742</v>
          </cell>
        </row>
        <row r="52">
          <cell r="A52">
            <v>35</v>
          </cell>
          <cell r="B52">
            <v>55335</v>
          </cell>
          <cell r="C52">
            <v>0</v>
          </cell>
          <cell r="D52">
            <v>867608.25211583287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505649.51269499742</v>
          </cell>
        </row>
        <row r="53">
          <cell r="A53">
            <v>36</v>
          </cell>
          <cell r="B53">
            <v>55701</v>
          </cell>
          <cell r="C53">
            <v>0</v>
          </cell>
          <cell r="D53">
            <v>867608.25211583287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505649.51269499742</v>
          </cell>
        </row>
        <row r="54">
          <cell r="A54">
            <v>37</v>
          </cell>
          <cell r="B54">
            <v>56066</v>
          </cell>
          <cell r="C54">
            <v>0</v>
          </cell>
          <cell r="D54">
            <v>867608.25211583287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505649.51269499742</v>
          </cell>
        </row>
        <row r="55">
          <cell r="A55">
            <v>38</v>
          </cell>
          <cell r="B55">
            <v>56431</v>
          </cell>
          <cell r="C55">
            <v>0</v>
          </cell>
          <cell r="D55">
            <v>867608.25211583287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505649.51269499742</v>
          </cell>
        </row>
        <row r="56">
          <cell r="A56">
            <v>39</v>
          </cell>
          <cell r="B56">
            <v>56796</v>
          </cell>
          <cell r="C56">
            <v>0</v>
          </cell>
          <cell r="D56">
            <v>867608.25211583287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505649.51269499742</v>
          </cell>
        </row>
        <row r="57">
          <cell r="A57">
            <v>40</v>
          </cell>
          <cell r="B57">
            <v>57162</v>
          </cell>
          <cell r="C57">
            <v>0</v>
          </cell>
          <cell r="D57">
            <v>867608.25211583287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505649.51269499742</v>
          </cell>
        </row>
        <row r="58">
          <cell r="A58">
            <v>41</v>
          </cell>
          <cell r="B58">
            <v>57527</v>
          </cell>
          <cell r="C58">
            <v>0</v>
          </cell>
          <cell r="D58">
            <v>867608.25211583287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505649.51269499742</v>
          </cell>
        </row>
        <row r="59">
          <cell r="A59">
            <v>42</v>
          </cell>
          <cell r="B59">
            <v>57892</v>
          </cell>
          <cell r="C59">
            <v>0</v>
          </cell>
          <cell r="D59">
            <v>867608.25211583287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505649.51269499742</v>
          </cell>
        </row>
        <row r="60">
          <cell r="A60">
            <v>43</v>
          </cell>
          <cell r="B60">
            <v>58257</v>
          </cell>
          <cell r="C60">
            <v>0</v>
          </cell>
          <cell r="D60">
            <v>867608.25211583287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505649.51269499742</v>
          </cell>
        </row>
        <row r="61">
          <cell r="A61">
            <v>44</v>
          </cell>
          <cell r="B61">
            <v>58623</v>
          </cell>
          <cell r="C61">
            <v>0</v>
          </cell>
          <cell r="D61">
            <v>867608.25211583287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505649.51269499742</v>
          </cell>
        </row>
        <row r="62">
          <cell r="A62">
            <v>45</v>
          </cell>
          <cell r="B62">
            <v>58988</v>
          </cell>
          <cell r="C62">
            <v>0</v>
          </cell>
          <cell r="D62">
            <v>867608.25211583287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505649.51269499742</v>
          </cell>
        </row>
        <row r="63">
          <cell r="A63">
            <v>46</v>
          </cell>
          <cell r="B63">
            <v>59353</v>
          </cell>
          <cell r="C63">
            <v>0</v>
          </cell>
          <cell r="D63">
            <v>867608.25211583287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505649.51269499742</v>
          </cell>
        </row>
        <row r="64">
          <cell r="A64">
            <v>47</v>
          </cell>
          <cell r="B64">
            <v>59718</v>
          </cell>
          <cell r="C64">
            <v>0</v>
          </cell>
          <cell r="D64">
            <v>867608.25211583287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505649.51269499742</v>
          </cell>
        </row>
        <row r="65">
          <cell r="A65">
            <v>48</v>
          </cell>
          <cell r="B65">
            <v>60084</v>
          </cell>
          <cell r="C65">
            <v>0</v>
          </cell>
          <cell r="D65">
            <v>867608.25211583287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505649.51269499742</v>
          </cell>
        </row>
        <row r="66">
          <cell r="A66">
            <v>49</v>
          </cell>
          <cell r="B66">
            <v>60449</v>
          </cell>
          <cell r="C66">
            <v>0</v>
          </cell>
          <cell r="D66">
            <v>867608.25211583287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505649.51269499742</v>
          </cell>
        </row>
        <row r="67">
          <cell r="A67">
            <v>50</v>
          </cell>
          <cell r="B67">
            <v>60814</v>
          </cell>
          <cell r="C67">
            <v>0</v>
          </cell>
          <cell r="D67">
            <v>867608.25211583287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505649.51269499742</v>
          </cell>
        </row>
        <row r="68">
          <cell r="A68">
            <v>51</v>
          </cell>
          <cell r="B68">
            <v>61179</v>
          </cell>
          <cell r="C68">
            <v>0</v>
          </cell>
          <cell r="D68">
            <v>867608.25211583287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505649.51269499742</v>
          </cell>
        </row>
        <row r="69">
          <cell r="A69">
            <v>52</v>
          </cell>
          <cell r="B69">
            <v>61545</v>
          </cell>
          <cell r="C69">
            <v>0</v>
          </cell>
          <cell r="D69">
            <v>867608.25211583287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505649.51269499742</v>
          </cell>
        </row>
        <row r="70">
          <cell r="A70">
            <v>53</v>
          </cell>
          <cell r="B70">
            <v>61910</v>
          </cell>
          <cell r="C70">
            <v>0</v>
          </cell>
          <cell r="D70">
            <v>867608.25211583287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505649.51269499742</v>
          </cell>
        </row>
        <row r="71">
          <cell r="A71">
            <v>54</v>
          </cell>
          <cell r="B71">
            <v>62275</v>
          </cell>
          <cell r="C71">
            <v>0</v>
          </cell>
          <cell r="D71">
            <v>867608.25211583287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505649.51269499742</v>
          </cell>
        </row>
        <row r="72">
          <cell r="A72">
            <v>55</v>
          </cell>
          <cell r="B72">
            <v>62640</v>
          </cell>
          <cell r="C72">
            <v>0</v>
          </cell>
          <cell r="D72">
            <v>867608.25211583287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505649.51269499742</v>
          </cell>
        </row>
        <row r="73">
          <cell r="A73">
            <v>56</v>
          </cell>
          <cell r="B73">
            <v>63006</v>
          </cell>
          <cell r="C73">
            <v>0</v>
          </cell>
          <cell r="D73">
            <v>867608.25211583287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505649.51269499742</v>
          </cell>
        </row>
        <row r="74">
          <cell r="A74">
            <v>57</v>
          </cell>
          <cell r="B74">
            <v>63371</v>
          </cell>
          <cell r="C74">
            <v>0</v>
          </cell>
          <cell r="D74">
            <v>867608.25211583287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505649.51269499742</v>
          </cell>
        </row>
        <row r="75">
          <cell r="A75">
            <v>58</v>
          </cell>
          <cell r="B75">
            <v>63736</v>
          </cell>
          <cell r="C75">
            <v>0</v>
          </cell>
          <cell r="D75">
            <v>867608.25211583287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505649.51269499742</v>
          </cell>
        </row>
        <row r="76">
          <cell r="A76">
            <v>59</v>
          </cell>
          <cell r="B76">
            <v>64101</v>
          </cell>
          <cell r="C76">
            <v>0</v>
          </cell>
          <cell r="D76">
            <v>867608.25211583287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505649.51269499742</v>
          </cell>
        </row>
        <row r="77">
          <cell r="A77">
            <v>60</v>
          </cell>
          <cell r="B77">
            <v>64467</v>
          </cell>
          <cell r="C77">
            <v>0</v>
          </cell>
          <cell r="D77">
            <v>867608.25211583287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505649.51269499742</v>
          </cell>
        </row>
        <row r="78">
          <cell r="A78">
            <v>61</v>
          </cell>
          <cell r="B78">
            <v>64832</v>
          </cell>
          <cell r="C78">
            <v>0</v>
          </cell>
          <cell r="D78">
            <v>867608.25211583287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505649.51269499742</v>
          </cell>
        </row>
        <row r="79">
          <cell r="A79">
            <v>62</v>
          </cell>
          <cell r="B79">
            <v>65197</v>
          </cell>
          <cell r="C79">
            <v>0</v>
          </cell>
          <cell r="D79">
            <v>867608.25211583287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505649.51269499742</v>
          </cell>
        </row>
        <row r="80">
          <cell r="A80">
            <v>63</v>
          </cell>
          <cell r="B80">
            <v>65562</v>
          </cell>
          <cell r="C80">
            <v>0</v>
          </cell>
          <cell r="D80">
            <v>867608.25211583287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505649.51269499742</v>
          </cell>
        </row>
        <row r="81">
          <cell r="A81">
            <v>64</v>
          </cell>
          <cell r="B81">
            <v>65928</v>
          </cell>
          <cell r="C81">
            <v>0</v>
          </cell>
          <cell r="D81">
            <v>867608.25211583287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505649.51269499742</v>
          </cell>
        </row>
        <row r="82">
          <cell r="A82">
            <v>65</v>
          </cell>
          <cell r="B82">
            <v>66293</v>
          </cell>
          <cell r="C82">
            <v>0</v>
          </cell>
          <cell r="D82">
            <v>867608.25211583287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505649.51269499742</v>
          </cell>
        </row>
        <row r="83">
          <cell r="A83">
            <v>66</v>
          </cell>
          <cell r="B83">
            <v>66658</v>
          </cell>
          <cell r="C83">
            <v>0</v>
          </cell>
          <cell r="D83">
            <v>867608.25211583287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505649.51269499742</v>
          </cell>
        </row>
        <row r="84">
          <cell r="A84">
            <v>67</v>
          </cell>
          <cell r="B84">
            <v>67023</v>
          </cell>
          <cell r="C84">
            <v>0</v>
          </cell>
          <cell r="D84">
            <v>867608.25211583287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505649.51269499742</v>
          </cell>
        </row>
        <row r="85">
          <cell r="A85">
            <v>68</v>
          </cell>
          <cell r="B85">
            <v>67389</v>
          </cell>
          <cell r="C85">
            <v>0</v>
          </cell>
          <cell r="D85">
            <v>867608.25211583287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505649.51269499742</v>
          </cell>
        </row>
        <row r="86">
          <cell r="A86">
            <v>69</v>
          </cell>
          <cell r="B86">
            <v>67754</v>
          </cell>
          <cell r="C86">
            <v>0</v>
          </cell>
          <cell r="D86">
            <v>867608.25211583287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505649.51269499742</v>
          </cell>
        </row>
        <row r="87">
          <cell r="A87">
            <v>70</v>
          </cell>
          <cell r="B87">
            <v>68119</v>
          </cell>
          <cell r="C87">
            <v>0</v>
          </cell>
          <cell r="D87">
            <v>867608.25211583287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505649.51269499742</v>
          </cell>
        </row>
        <row r="88">
          <cell r="A88">
            <v>71</v>
          </cell>
          <cell r="B88">
            <v>68484</v>
          </cell>
          <cell r="C88">
            <v>0</v>
          </cell>
          <cell r="D88">
            <v>867608.25211583287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505649.51269499742</v>
          </cell>
        </row>
        <row r="89">
          <cell r="A89">
            <v>72</v>
          </cell>
          <cell r="B89">
            <v>68850</v>
          </cell>
          <cell r="C89">
            <v>0</v>
          </cell>
          <cell r="D89">
            <v>867608.25211583287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505649.51269499742</v>
          </cell>
        </row>
        <row r="90">
          <cell r="A90">
            <v>73</v>
          </cell>
          <cell r="B90">
            <v>69215</v>
          </cell>
          <cell r="C90">
            <v>0</v>
          </cell>
          <cell r="D90">
            <v>867608.25211583287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505649.51269499742</v>
          </cell>
        </row>
        <row r="91">
          <cell r="A91">
            <v>74</v>
          </cell>
          <cell r="B91">
            <v>69580</v>
          </cell>
          <cell r="C91">
            <v>0</v>
          </cell>
          <cell r="D91">
            <v>867608.25211583287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505649.51269499742</v>
          </cell>
        </row>
        <row r="92">
          <cell r="A92">
            <v>75</v>
          </cell>
          <cell r="B92">
            <v>69945</v>
          </cell>
          <cell r="C92">
            <v>0</v>
          </cell>
          <cell r="D92">
            <v>867608.25211583287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505649.51269499742</v>
          </cell>
        </row>
        <row r="93">
          <cell r="A93">
            <v>76</v>
          </cell>
          <cell r="B93">
            <v>70311</v>
          </cell>
          <cell r="C93">
            <v>0</v>
          </cell>
          <cell r="D93">
            <v>867608.25211583287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505649.51269499742</v>
          </cell>
        </row>
        <row r="94">
          <cell r="A94">
            <v>77</v>
          </cell>
          <cell r="B94">
            <v>70676</v>
          </cell>
          <cell r="C94">
            <v>0</v>
          </cell>
          <cell r="D94">
            <v>867608.25211583287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505649.51269499742</v>
          </cell>
        </row>
        <row r="95">
          <cell r="A95">
            <v>78</v>
          </cell>
          <cell r="B95">
            <v>71041</v>
          </cell>
          <cell r="C95">
            <v>0</v>
          </cell>
          <cell r="D95">
            <v>867608.25211583287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505649.51269499742</v>
          </cell>
        </row>
        <row r="96">
          <cell r="A96">
            <v>79</v>
          </cell>
          <cell r="B96">
            <v>71406</v>
          </cell>
          <cell r="C96">
            <v>0</v>
          </cell>
          <cell r="D96">
            <v>867608.25211583287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505649.51269499742</v>
          </cell>
        </row>
        <row r="97">
          <cell r="A97">
            <v>80</v>
          </cell>
          <cell r="B97">
            <v>71772</v>
          </cell>
          <cell r="C97">
            <v>0</v>
          </cell>
          <cell r="D97">
            <v>867608.25211583287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505649.51269499742</v>
          </cell>
        </row>
        <row r="98">
          <cell r="A98">
            <v>81</v>
          </cell>
          <cell r="B98">
            <v>72137</v>
          </cell>
          <cell r="C98">
            <v>0</v>
          </cell>
          <cell r="D98">
            <v>867608.25211583287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505649.51269499742</v>
          </cell>
        </row>
        <row r="99">
          <cell r="A99">
            <v>82</v>
          </cell>
          <cell r="B99">
            <v>72502</v>
          </cell>
          <cell r="C99">
            <v>0</v>
          </cell>
          <cell r="D99">
            <v>867608.25211583287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505649.51269499742</v>
          </cell>
        </row>
        <row r="100">
          <cell r="A100">
            <v>83</v>
          </cell>
          <cell r="B100">
            <v>72867</v>
          </cell>
          <cell r="C100">
            <v>0</v>
          </cell>
          <cell r="D100">
            <v>867608.25211583287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505649.51269499742</v>
          </cell>
        </row>
        <row r="101">
          <cell r="A101">
            <v>84</v>
          </cell>
          <cell r="B101">
            <v>73232</v>
          </cell>
          <cell r="C101">
            <v>0</v>
          </cell>
          <cell r="D101">
            <v>867608.25211583287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505649.51269499742</v>
          </cell>
        </row>
        <row r="102">
          <cell r="A102">
            <v>85</v>
          </cell>
          <cell r="B102">
            <v>73597</v>
          </cell>
          <cell r="C102">
            <v>0</v>
          </cell>
          <cell r="D102">
            <v>867608.25211583287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505649.51269499742</v>
          </cell>
        </row>
        <row r="103">
          <cell r="A103">
            <v>86</v>
          </cell>
          <cell r="B103">
            <v>73962</v>
          </cell>
          <cell r="C103">
            <v>0</v>
          </cell>
          <cell r="D103">
            <v>867608.25211583287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505649.51269499742</v>
          </cell>
        </row>
        <row r="104">
          <cell r="A104">
            <v>87</v>
          </cell>
          <cell r="B104">
            <v>74327</v>
          </cell>
          <cell r="C104">
            <v>0</v>
          </cell>
          <cell r="D104">
            <v>867608.25211583287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505649.51269499742</v>
          </cell>
        </row>
        <row r="105">
          <cell r="A105">
            <v>88</v>
          </cell>
          <cell r="B105">
            <v>74693</v>
          </cell>
          <cell r="C105">
            <v>0</v>
          </cell>
          <cell r="D105">
            <v>867608.25211583287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505649.51269499742</v>
          </cell>
        </row>
        <row r="106">
          <cell r="A106">
            <v>89</v>
          </cell>
          <cell r="B106">
            <v>75058</v>
          </cell>
          <cell r="C106">
            <v>0</v>
          </cell>
          <cell r="D106">
            <v>867608.25211583287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505649.51269499742</v>
          </cell>
        </row>
        <row r="107">
          <cell r="A107">
            <v>90</v>
          </cell>
          <cell r="B107">
            <v>75423</v>
          </cell>
          <cell r="C107">
            <v>0</v>
          </cell>
          <cell r="D107">
            <v>867608.25211583287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505649.51269499742</v>
          </cell>
        </row>
        <row r="108">
          <cell r="A108">
            <v>91</v>
          </cell>
          <cell r="B108">
            <v>75788</v>
          </cell>
          <cell r="C108">
            <v>0</v>
          </cell>
          <cell r="D108">
            <v>867608.25211583287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505649.51269499742</v>
          </cell>
        </row>
        <row r="109">
          <cell r="A109">
            <v>92</v>
          </cell>
          <cell r="B109">
            <v>76154</v>
          </cell>
          <cell r="C109">
            <v>0</v>
          </cell>
          <cell r="D109">
            <v>867608.25211583287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505649.51269499742</v>
          </cell>
        </row>
        <row r="110">
          <cell r="A110">
            <v>93</v>
          </cell>
          <cell r="B110">
            <v>76519</v>
          </cell>
          <cell r="C110">
            <v>0</v>
          </cell>
          <cell r="D110">
            <v>867608.25211583287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505649.51269499742</v>
          </cell>
        </row>
        <row r="111">
          <cell r="A111">
            <v>94</v>
          </cell>
          <cell r="B111">
            <v>76884</v>
          </cell>
          <cell r="C111">
            <v>0</v>
          </cell>
          <cell r="D111">
            <v>867608.25211583287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505649.51269499742</v>
          </cell>
        </row>
        <row r="112">
          <cell r="A112">
            <v>95</v>
          </cell>
          <cell r="B112">
            <v>77249</v>
          </cell>
          <cell r="C112">
            <v>0</v>
          </cell>
          <cell r="D112">
            <v>867608.25211583287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505649.51269499742</v>
          </cell>
        </row>
        <row r="113">
          <cell r="A113">
            <v>96</v>
          </cell>
          <cell r="B113">
            <v>77615</v>
          </cell>
          <cell r="C113">
            <v>0</v>
          </cell>
          <cell r="D113">
            <v>867608.25211583287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505649.51269499742</v>
          </cell>
        </row>
        <row r="114">
          <cell r="A114">
            <v>97</v>
          </cell>
          <cell r="B114">
            <v>77980</v>
          </cell>
          <cell r="C114">
            <v>0</v>
          </cell>
          <cell r="D114">
            <v>867608.25211583287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505649.51269499742</v>
          </cell>
        </row>
        <row r="115">
          <cell r="A115">
            <v>98</v>
          </cell>
          <cell r="B115">
            <v>78345</v>
          </cell>
          <cell r="C115">
            <v>0</v>
          </cell>
          <cell r="D115">
            <v>867608.25211583287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505649.51269499742</v>
          </cell>
        </row>
        <row r="116">
          <cell r="A116">
            <v>99</v>
          </cell>
          <cell r="B116">
            <v>78710</v>
          </cell>
          <cell r="C116">
            <v>0</v>
          </cell>
          <cell r="D116">
            <v>867608.25211583287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505649.51269499742</v>
          </cell>
        </row>
        <row r="117">
          <cell r="A117">
            <v>100</v>
          </cell>
          <cell r="B117">
            <v>79076</v>
          </cell>
          <cell r="C117">
            <v>0</v>
          </cell>
          <cell r="D117">
            <v>867608.25211583287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505649.51269499742</v>
          </cell>
        </row>
        <row r="118">
          <cell r="A118">
            <v>101</v>
          </cell>
          <cell r="B118">
            <v>79441</v>
          </cell>
          <cell r="C118">
            <v>0</v>
          </cell>
          <cell r="D118">
            <v>867608.25211583287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505649.51269499742</v>
          </cell>
        </row>
        <row r="119">
          <cell r="A119">
            <v>102</v>
          </cell>
          <cell r="B119">
            <v>79806</v>
          </cell>
          <cell r="C119">
            <v>0</v>
          </cell>
          <cell r="D119">
            <v>867608.25211583287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505649.51269499742</v>
          </cell>
        </row>
        <row r="120">
          <cell r="A120">
            <v>103</v>
          </cell>
          <cell r="B120">
            <v>80171</v>
          </cell>
          <cell r="C120">
            <v>0</v>
          </cell>
          <cell r="D120">
            <v>867608.25211583287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505649.51269499742</v>
          </cell>
        </row>
        <row r="121">
          <cell r="A121">
            <v>104</v>
          </cell>
          <cell r="B121">
            <v>80537</v>
          </cell>
          <cell r="C121">
            <v>0</v>
          </cell>
          <cell r="D121">
            <v>867608.25211583287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505649.51269499742</v>
          </cell>
        </row>
        <row r="122">
          <cell r="A122">
            <v>105</v>
          </cell>
          <cell r="B122">
            <v>80902</v>
          </cell>
          <cell r="C122">
            <v>0</v>
          </cell>
          <cell r="D122">
            <v>867608.25211583287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505649.51269499742</v>
          </cell>
        </row>
        <row r="123">
          <cell r="A123">
            <v>106</v>
          </cell>
          <cell r="B123">
            <v>81267</v>
          </cell>
          <cell r="C123">
            <v>0</v>
          </cell>
          <cell r="D123">
            <v>867608.25211583287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505649.51269499742</v>
          </cell>
        </row>
        <row r="124">
          <cell r="A124">
            <v>107</v>
          </cell>
          <cell r="B124">
            <v>81632</v>
          </cell>
          <cell r="C124">
            <v>0</v>
          </cell>
          <cell r="D124">
            <v>867608.25211583287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505649.51269499742</v>
          </cell>
        </row>
        <row r="125">
          <cell r="A125">
            <v>108</v>
          </cell>
          <cell r="B125">
            <v>81998</v>
          </cell>
          <cell r="C125">
            <v>0</v>
          </cell>
          <cell r="D125">
            <v>867608.25211583287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505649.51269499742</v>
          </cell>
        </row>
        <row r="126">
          <cell r="A126">
            <v>109</v>
          </cell>
          <cell r="B126">
            <v>82363</v>
          </cell>
          <cell r="C126">
            <v>0</v>
          </cell>
          <cell r="D126">
            <v>867608.25211583287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505649.51269499742</v>
          </cell>
        </row>
        <row r="127">
          <cell r="A127">
            <v>110</v>
          </cell>
          <cell r="B127">
            <v>82728</v>
          </cell>
          <cell r="C127">
            <v>0</v>
          </cell>
          <cell r="D127">
            <v>867608.25211583287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505649.51269499742</v>
          </cell>
        </row>
        <row r="128">
          <cell r="A128">
            <v>111</v>
          </cell>
          <cell r="B128">
            <v>83093</v>
          </cell>
          <cell r="C128">
            <v>0</v>
          </cell>
          <cell r="D128">
            <v>867608.25211583287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505649.51269499742</v>
          </cell>
        </row>
        <row r="129">
          <cell r="A129">
            <v>112</v>
          </cell>
          <cell r="B129">
            <v>83459</v>
          </cell>
          <cell r="C129">
            <v>0</v>
          </cell>
          <cell r="D129">
            <v>867608.25211583287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505649.51269499742</v>
          </cell>
        </row>
        <row r="130">
          <cell r="A130">
            <v>113</v>
          </cell>
          <cell r="B130">
            <v>83824</v>
          </cell>
          <cell r="C130">
            <v>0</v>
          </cell>
          <cell r="D130">
            <v>867608.25211583287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505649.51269499742</v>
          </cell>
        </row>
        <row r="131">
          <cell r="A131">
            <v>114</v>
          </cell>
          <cell r="B131">
            <v>84189</v>
          </cell>
          <cell r="C131">
            <v>0</v>
          </cell>
          <cell r="D131">
            <v>867608.25211583287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505649.51269499742</v>
          </cell>
        </row>
        <row r="132">
          <cell r="A132">
            <v>115</v>
          </cell>
          <cell r="B132">
            <v>84554</v>
          </cell>
          <cell r="C132">
            <v>0</v>
          </cell>
          <cell r="D132">
            <v>867608.25211583287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505649.51269499742</v>
          </cell>
        </row>
        <row r="133">
          <cell r="A133">
            <v>116</v>
          </cell>
          <cell r="B133">
            <v>84920</v>
          </cell>
          <cell r="C133">
            <v>0</v>
          </cell>
          <cell r="D133">
            <v>867608.25211583287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505649.51269499742</v>
          </cell>
        </row>
        <row r="134">
          <cell r="A134">
            <v>117</v>
          </cell>
          <cell r="B134">
            <v>85285</v>
          </cell>
          <cell r="C134">
            <v>0</v>
          </cell>
          <cell r="D134">
            <v>867608.25211583287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505649.51269499742</v>
          </cell>
        </row>
        <row r="135">
          <cell r="A135">
            <v>118</v>
          </cell>
          <cell r="B135">
            <v>85650</v>
          </cell>
          <cell r="C135">
            <v>0</v>
          </cell>
          <cell r="D135">
            <v>867608.25211583287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505649.51269499742</v>
          </cell>
        </row>
        <row r="136">
          <cell r="A136">
            <v>119</v>
          </cell>
          <cell r="B136">
            <v>86015</v>
          </cell>
          <cell r="C136">
            <v>0</v>
          </cell>
          <cell r="D136">
            <v>867608.25211583287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505649.51269499742</v>
          </cell>
        </row>
        <row r="137">
          <cell r="A137">
            <v>120</v>
          </cell>
          <cell r="B137">
            <v>86381</v>
          </cell>
          <cell r="C137">
            <v>0</v>
          </cell>
          <cell r="D137">
            <v>867608.25211583287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505649.51269499742</v>
          </cell>
        </row>
        <row r="138">
          <cell r="A138">
            <v>121</v>
          </cell>
          <cell r="B138">
            <v>86746</v>
          </cell>
          <cell r="C138">
            <v>0</v>
          </cell>
          <cell r="D138">
            <v>867608.25211583287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505649.51269499742</v>
          </cell>
        </row>
        <row r="139">
          <cell r="A139">
            <v>122</v>
          </cell>
          <cell r="B139">
            <v>87111</v>
          </cell>
          <cell r="C139">
            <v>0</v>
          </cell>
          <cell r="D139">
            <v>867608.25211583287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505649.51269499742</v>
          </cell>
        </row>
        <row r="140">
          <cell r="A140">
            <v>123</v>
          </cell>
          <cell r="B140">
            <v>87476</v>
          </cell>
          <cell r="C140">
            <v>0</v>
          </cell>
          <cell r="D140">
            <v>867608.25211583287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505649.51269499742</v>
          </cell>
        </row>
        <row r="141">
          <cell r="A141">
            <v>124</v>
          </cell>
          <cell r="B141">
            <v>87842</v>
          </cell>
          <cell r="C141">
            <v>0</v>
          </cell>
          <cell r="D141">
            <v>867608.25211583287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505649.51269499742</v>
          </cell>
        </row>
        <row r="142">
          <cell r="A142">
            <v>125</v>
          </cell>
          <cell r="B142">
            <v>88207</v>
          </cell>
          <cell r="C142">
            <v>0</v>
          </cell>
          <cell r="D142">
            <v>867608.25211583287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505649.51269499742</v>
          </cell>
        </row>
        <row r="143">
          <cell r="A143">
            <v>126</v>
          </cell>
          <cell r="B143">
            <v>88572</v>
          </cell>
          <cell r="C143">
            <v>0</v>
          </cell>
          <cell r="D143">
            <v>867608.25211583287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505649.51269499742</v>
          </cell>
        </row>
        <row r="144">
          <cell r="A144">
            <v>127</v>
          </cell>
          <cell r="B144">
            <v>88937</v>
          </cell>
          <cell r="C144">
            <v>0</v>
          </cell>
          <cell r="D144">
            <v>867608.25211583287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505649.51269499742</v>
          </cell>
        </row>
        <row r="145">
          <cell r="A145">
            <v>128</v>
          </cell>
          <cell r="B145">
            <v>89303</v>
          </cell>
          <cell r="C145">
            <v>0</v>
          </cell>
          <cell r="D145">
            <v>867608.25211583287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505649.51269499742</v>
          </cell>
        </row>
        <row r="146">
          <cell r="A146">
            <v>129</v>
          </cell>
          <cell r="B146">
            <v>89668</v>
          </cell>
          <cell r="C146">
            <v>0</v>
          </cell>
          <cell r="D146">
            <v>867608.25211583287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505649.51269499742</v>
          </cell>
        </row>
        <row r="147">
          <cell r="A147">
            <v>130</v>
          </cell>
          <cell r="B147">
            <v>90033</v>
          </cell>
          <cell r="C147">
            <v>0</v>
          </cell>
          <cell r="D147">
            <v>867608.25211583287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505649.51269499742</v>
          </cell>
        </row>
        <row r="148">
          <cell r="A148">
            <v>131</v>
          </cell>
          <cell r="B148">
            <v>90398</v>
          </cell>
          <cell r="C148">
            <v>0</v>
          </cell>
          <cell r="D148">
            <v>867608.25211583287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505649.51269499742</v>
          </cell>
        </row>
        <row r="149">
          <cell r="A149">
            <v>132</v>
          </cell>
          <cell r="B149">
            <v>90764</v>
          </cell>
          <cell r="C149">
            <v>0</v>
          </cell>
          <cell r="D149">
            <v>867608.25211583287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505649.51269499742</v>
          </cell>
        </row>
        <row r="150">
          <cell r="A150">
            <v>133</v>
          </cell>
          <cell r="B150">
            <v>91129</v>
          </cell>
          <cell r="C150">
            <v>0</v>
          </cell>
          <cell r="D150">
            <v>867608.25211583287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505649.51269499742</v>
          </cell>
        </row>
        <row r="151">
          <cell r="A151">
            <v>134</v>
          </cell>
          <cell r="B151">
            <v>91494</v>
          </cell>
          <cell r="C151">
            <v>0</v>
          </cell>
          <cell r="D151">
            <v>867608.25211583287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505649.51269499742</v>
          </cell>
        </row>
        <row r="152">
          <cell r="A152">
            <v>135</v>
          </cell>
          <cell r="B152">
            <v>91859</v>
          </cell>
          <cell r="C152">
            <v>0</v>
          </cell>
          <cell r="D152">
            <v>867608.25211583287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505649.51269499742</v>
          </cell>
        </row>
        <row r="153">
          <cell r="A153">
            <v>136</v>
          </cell>
          <cell r="B153">
            <v>92225</v>
          </cell>
          <cell r="C153">
            <v>0</v>
          </cell>
          <cell r="D153">
            <v>867608.25211583287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505649.51269499742</v>
          </cell>
        </row>
        <row r="154">
          <cell r="A154">
            <v>137</v>
          </cell>
          <cell r="B154">
            <v>92590</v>
          </cell>
          <cell r="C154">
            <v>0</v>
          </cell>
          <cell r="D154">
            <v>867608.25211583287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505649.51269499742</v>
          </cell>
        </row>
        <row r="155">
          <cell r="A155">
            <v>138</v>
          </cell>
          <cell r="B155">
            <v>92955</v>
          </cell>
          <cell r="C155">
            <v>0</v>
          </cell>
          <cell r="D155">
            <v>867608.25211583287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505649.51269499742</v>
          </cell>
        </row>
        <row r="156">
          <cell r="A156">
            <v>139</v>
          </cell>
          <cell r="B156">
            <v>93320</v>
          </cell>
          <cell r="C156">
            <v>0</v>
          </cell>
          <cell r="D156">
            <v>867608.25211583287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505649.51269499742</v>
          </cell>
        </row>
        <row r="157">
          <cell r="A157">
            <v>140</v>
          </cell>
          <cell r="B157">
            <v>93686</v>
          </cell>
          <cell r="C157">
            <v>0</v>
          </cell>
          <cell r="D157">
            <v>867608.25211583287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505649.51269499742</v>
          </cell>
        </row>
        <row r="158">
          <cell r="A158">
            <v>141</v>
          </cell>
          <cell r="B158">
            <v>94051</v>
          </cell>
          <cell r="C158">
            <v>0</v>
          </cell>
          <cell r="D158">
            <v>867608.25211583287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505649.51269499742</v>
          </cell>
        </row>
        <row r="159">
          <cell r="A159">
            <v>142</v>
          </cell>
          <cell r="B159">
            <v>94416</v>
          </cell>
          <cell r="C159">
            <v>0</v>
          </cell>
          <cell r="D159">
            <v>867608.25211583287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505649.51269499742</v>
          </cell>
        </row>
        <row r="160">
          <cell r="A160">
            <v>143</v>
          </cell>
          <cell r="B160">
            <v>94781</v>
          </cell>
          <cell r="C160">
            <v>0</v>
          </cell>
          <cell r="D160">
            <v>867608.25211583287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505649.51269499742</v>
          </cell>
        </row>
        <row r="161">
          <cell r="A161">
            <v>144</v>
          </cell>
          <cell r="B161">
            <v>95147</v>
          </cell>
          <cell r="C161">
            <v>0</v>
          </cell>
          <cell r="D161">
            <v>867608.25211583287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505649.51269499742</v>
          </cell>
        </row>
        <row r="162">
          <cell r="A162">
            <v>145</v>
          </cell>
          <cell r="B162">
            <v>95512</v>
          </cell>
          <cell r="C162">
            <v>0</v>
          </cell>
          <cell r="D162">
            <v>867608.25211583287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505649.51269499742</v>
          </cell>
        </row>
        <row r="163">
          <cell r="A163">
            <v>146</v>
          </cell>
          <cell r="B163">
            <v>95877</v>
          </cell>
          <cell r="C163">
            <v>0</v>
          </cell>
          <cell r="D163">
            <v>867608.25211583287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505649.51269499742</v>
          </cell>
        </row>
        <row r="164">
          <cell r="A164">
            <v>147</v>
          </cell>
          <cell r="B164">
            <v>96242</v>
          </cell>
          <cell r="C164">
            <v>0</v>
          </cell>
          <cell r="D164">
            <v>867608.25211583287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505649.51269499742</v>
          </cell>
        </row>
        <row r="165">
          <cell r="A165">
            <v>148</v>
          </cell>
          <cell r="B165">
            <v>96608</v>
          </cell>
          <cell r="C165">
            <v>0</v>
          </cell>
          <cell r="D165">
            <v>867608.25211583287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505649.51269499742</v>
          </cell>
        </row>
        <row r="166">
          <cell r="A166">
            <v>149</v>
          </cell>
          <cell r="B166">
            <v>96973</v>
          </cell>
          <cell r="C166">
            <v>0</v>
          </cell>
          <cell r="D166">
            <v>867608.25211583287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505649.51269499742</v>
          </cell>
        </row>
        <row r="167">
          <cell r="A167">
            <v>150</v>
          </cell>
          <cell r="B167">
            <v>97338</v>
          </cell>
          <cell r="C167">
            <v>0</v>
          </cell>
          <cell r="D167">
            <v>867608.25211583287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505649.51269499742</v>
          </cell>
        </row>
        <row r="168">
          <cell r="A168">
            <v>151</v>
          </cell>
          <cell r="B168">
            <v>97703</v>
          </cell>
          <cell r="C168">
            <v>0</v>
          </cell>
          <cell r="D168">
            <v>867608.25211583287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505649.51269499742</v>
          </cell>
        </row>
        <row r="169">
          <cell r="A169">
            <v>152</v>
          </cell>
          <cell r="B169">
            <v>98069</v>
          </cell>
          <cell r="C169">
            <v>0</v>
          </cell>
          <cell r="D169">
            <v>867608.25211583287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505649.51269499742</v>
          </cell>
        </row>
        <row r="170">
          <cell r="A170">
            <v>153</v>
          </cell>
          <cell r="B170">
            <v>98434</v>
          </cell>
          <cell r="C170">
            <v>0</v>
          </cell>
          <cell r="D170">
            <v>867608.25211583287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505649.51269499742</v>
          </cell>
        </row>
        <row r="171">
          <cell r="A171">
            <v>154</v>
          </cell>
          <cell r="B171">
            <v>98799</v>
          </cell>
          <cell r="C171">
            <v>0</v>
          </cell>
          <cell r="D171">
            <v>867608.25211583287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505649.51269499742</v>
          </cell>
        </row>
        <row r="172">
          <cell r="A172">
            <v>155</v>
          </cell>
          <cell r="B172">
            <v>99164</v>
          </cell>
          <cell r="C172">
            <v>0</v>
          </cell>
          <cell r="D172">
            <v>867608.25211583287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505649.51269499742</v>
          </cell>
        </row>
        <row r="173">
          <cell r="A173">
            <v>156</v>
          </cell>
          <cell r="B173">
            <v>99530</v>
          </cell>
          <cell r="C173">
            <v>0</v>
          </cell>
          <cell r="D173">
            <v>867608.25211583287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505649.51269499742</v>
          </cell>
        </row>
        <row r="174">
          <cell r="A174">
            <v>157</v>
          </cell>
          <cell r="B174">
            <v>99895</v>
          </cell>
          <cell r="C174">
            <v>0</v>
          </cell>
          <cell r="D174">
            <v>867608.25211583287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505649.51269499742</v>
          </cell>
        </row>
        <row r="175">
          <cell r="A175">
            <v>158</v>
          </cell>
          <cell r="B175">
            <v>100260</v>
          </cell>
          <cell r="C175">
            <v>0</v>
          </cell>
          <cell r="D175">
            <v>867608.25211583287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505649.51269499742</v>
          </cell>
        </row>
        <row r="176">
          <cell r="A176">
            <v>159</v>
          </cell>
          <cell r="B176">
            <v>100625</v>
          </cell>
          <cell r="C176">
            <v>0</v>
          </cell>
          <cell r="D176">
            <v>867608.25211583287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505649.51269499742</v>
          </cell>
        </row>
        <row r="177">
          <cell r="A177">
            <v>160</v>
          </cell>
          <cell r="B177">
            <v>100991</v>
          </cell>
          <cell r="C177">
            <v>0</v>
          </cell>
          <cell r="D177">
            <v>867608.25211583287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505649.51269499742</v>
          </cell>
        </row>
        <row r="178">
          <cell r="A178">
            <v>161</v>
          </cell>
          <cell r="B178">
            <v>101356</v>
          </cell>
          <cell r="C178">
            <v>0</v>
          </cell>
          <cell r="D178">
            <v>867608.25211583287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505649.51269499742</v>
          </cell>
        </row>
        <row r="179">
          <cell r="A179">
            <v>162</v>
          </cell>
          <cell r="B179">
            <v>101721</v>
          </cell>
          <cell r="C179">
            <v>0</v>
          </cell>
          <cell r="D179">
            <v>867608.25211583287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505649.51269499742</v>
          </cell>
        </row>
        <row r="180">
          <cell r="A180">
            <v>163</v>
          </cell>
          <cell r="B180">
            <v>102086</v>
          </cell>
          <cell r="C180">
            <v>0</v>
          </cell>
          <cell r="D180">
            <v>867608.25211583287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505649.51269499742</v>
          </cell>
        </row>
        <row r="181">
          <cell r="A181">
            <v>164</v>
          </cell>
          <cell r="B181">
            <v>102452</v>
          </cell>
          <cell r="C181">
            <v>0</v>
          </cell>
          <cell r="D181">
            <v>867608.25211583287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505649.51269499742</v>
          </cell>
        </row>
        <row r="182">
          <cell r="A182">
            <v>165</v>
          </cell>
          <cell r="B182">
            <v>102817</v>
          </cell>
          <cell r="C182">
            <v>0</v>
          </cell>
          <cell r="D182">
            <v>867608.25211583287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505649.51269499742</v>
          </cell>
        </row>
        <row r="183">
          <cell r="A183">
            <v>166</v>
          </cell>
          <cell r="B183">
            <v>103182</v>
          </cell>
          <cell r="C183">
            <v>0</v>
          </cell>
          <cell r="D183">
            <v>867608.25211583287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505649.51269499742</v>
          </cell>
        </row>
        <row r="184">
          <cell r="A184">
            <v>167</v>
          </cell>
          <cell r="B184">
            <v>103547</v>
          </cell>
          <cell r="C184">
            <v>0</v>
          </cell>
          <cell r="D184">
            <v>867608.25211583287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505649.51269499742</v>
          </cell>
        </row>
        <row r="185">
          <cell r="A185">
            <v>168</v>
          </cell>
          <cell r="B185">
            <v>103913</v>
          </cell>
          <cell r="C185">
            <v>0</v>
          </cell>
          <cell r="D185">
            <v>867608.25211583287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505649.51269499742</v>
          </cell>
        </row>
        <row r="186">
          <cell r="A186">
            <v>169</v>
          </cell>
          <cell r="B186">
            <v>104278</v>
          </cell>
          <cell r="C186">
            <v>0</v>
          </cell>
          <cell r="D186">
            <v>867608.25211583287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505649.51269499742</v>
          </cell>
        </row>
        <row r="187">
          <cell r="A187">
            <v>170</v>
          </cell>
          <cell r="B187">
            <v>104643</v>
          </cell>
          <cell r="C187">
            <v>0</v>
          </cell>
          <cell r="D187">
            <v>867608.25211583287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505649.51269499742</v>
          </cell>
        </row>
        <row r="188">
          <cell r="A188">
            <v>171</v>
          </cell>
          <cell r="B188">
            <v>105008</v>
          </cell>
          <cell r="C188">
            <v>0</v>
          </cell>
          <cell r="D188">
            <v>867608.25211583287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505649.51269499742</v>
          </cell>
        </row>
        <row r="189">
          <cell r="A189">
            <v>172</v>
          </cell>
          <cell r="B189">
            <v>105374</v>
          </cell>
          <cell r="C189">
            <v>0</v>
          </cell>
          <cell r="D189">
            <v>867608.25211583287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505649.51269499742</v>
          </cell>
        </row>
        <row r="190">
          <cell r="A190">
            <v>173</v>
          </cell>
          <cell r="B190">
            <v>105739</v>
          </cell>
          <cell r="C190">
            <v>0</v>
          </cell>
          <cell r="D190">
            <v>867608.25211583287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505649.51269499742</v>
          </cell>
        </row>
        <row r="191">
          <cell r="A191">
            <v>174</v>
          </cell>
          <cell r="B191">
            <v>106104</v>
          </cell>
          <cell r="C191">
            <v>0</v>
          </cell>
          <cell r="D191">
            <v>867608.25211583287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505649.51269499742</v>
          </cell>
        </row>
        <row r="192">
          <cell r="A192">
            <v>175</v>
          </cell>
          <cell r="B192">
            <v>106469</v>
          </cell>
          <cell r="C192">
            <v>0</v>
          </cell>
          <cell r="D192">
            <v>867608.25211583287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505649.51269499742</v>
          </cell>
        </row>
        <row r="193">
          <cell r="A193">
            <v>176</v>
          </cell>
          <cell r="B193">
            <v>106835</v>
          </cell>
          <cell r="C193">
            <v>0</v>
          </cell>
          <cell r="D193">
            <v>867608.25211583287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505649.51269499742</v>
          </cell>
        </row>
        <row r="194">
          <cell r="A194">
            <v>177</v>
          </cell>
          <cell r="B194">
            <v>107200</v>
          </cell>
          <cell r="C194">
            <v>0</v>
          </cell>
          <cell r="D194">
            <v>867608.25211583287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505649.51269499742</v>
          </cell>
        </row>
        <row r="195">
          <cell r="A195">
            <v>178</v>
          </cell>
          <cell r="B195">
            <v>107565</v>
          </cell>
          <cell r="C195">
            <v>0</v>
          </cell>
          <cell r="D195">
            <v>867608.25211583287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505649.51269499742</v>
          </cell>
        </row>
        <row r="196">
          <cell r="A196">
            <v>179</v>
          </cell>
          <cell r="B196">
            <v>107930</v>
          </cell>
          <cell r="C196">
            <v>0</v>
          </cell>
          <cell r="D196">
            <v>867608.25211583287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505649.51269499742</v>
          </cell>
        </row>
        <row r="197">
          <cell r="A197">
            <v>180</v>
          </cell>
          <cell r="B197">
            <v>108296</v>
          </cell>
          <cell r="C197">
            <v>0</v>
          </cell>
          <cell r="D197">
            <v>867608.25211583287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505649.51269499742</v>
          </cell>
        </row>
        <row r="198">
          <cell r="A198">
            <v>181</v>
          </cell>
          <cell r="B198">
            <v>108661</v>
          </cell>
          <cell r="C198">
            <v>0</v>
          </cell>
          <cell r="D198">
            <v>867608.25211583287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505649.51269499742</v>
          </cell>
        </row>
        <row r="199">
          <cell r="A199">
            <v>182</v>
          </cell>
          <cell r="B199">
            <v>109026</v>
          </cell>
          <cell r="C199">
            <v>0</v>
          </cell>
          <cell r="D199">
            <v>867608.25211583287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505649.51269499742</v>
          </cell>
        </row>
        <row r="200">
          <cell r="A200">
            <v>183</v>
          </cell>
          <cell r="B200">
            <v>109391</v>
          </cell>
          <cell r="C200">
            <v>0</v>
          </cell>
          <cell r="D200">
            <v>867608.25211583287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505649.51269499742</v>
          </cell>
        </row>
        <row r="201">
          <cell r="A201">
            <v>184</v>
          </cell>
          <cell r="B201">
            <v>109756</v>
          </cell>
          <cell r="C201">
            <v>0</v>
          </cell>
          <cell r="D201">
            <v>867608.25211583287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505649.51269499742</v>
          </cell>
        </row>
        <row r="202">
          <cell r="A202">
            <v>185</v>
          </cell>
          <cell r="B202">
            <v>110121</v>
          </cell>
          <cell r="C202">
            <v>0</v>
          </cell>
          <cell r="D202">
            <v>867608.25211583287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505649.51269499742</v>
          </cell>
        </row>
        <row r="203">
          <cell r="A203">
            <v>186</v>
          </cell>
          <cell r="B203">
            <v>110486</v>
          </cell>
          <cell r="C203">
            <v>0</v>
          </cell>
          <cell r="D203">
            <v>867608.25211583287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505649.51269499742</v>
          </cell>
        </row>
        <row r="204">
          <cell r="A204">
            <v>187</v>
          </cell>
          <cell r="B204">
            <v>110851</v>
          </cell>
          <cell r="C204">
            <v>0</v>
          </cell>
          <cell r="D204">
            <v>867608.25211583287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505649.51269499742</v>
          </cell>
        </row>
        <row r="205">
          <cell r="A205">
            <v>188</v>
          </cell>
          <cell r="B205">
            <v>111217</v>
          </cell>
          <cell r="C205">
            <v>0</v>
          </cell>
          <cell r="D205">
            <v>867608.25211583287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505649.51269499742</v>
          </cell>
        </row>
        <row r="206">
          <cell r="A206">
            <v>189</v>
          </cell>
          <cell r="B206">
            <v>111582</v>
          </cell>
          <cell r="C206">
            <v>0</v>
          </cell>
          <cell r="D206">
            <v>867608.25211583287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505649.51269499742</v>
          </cell>
        </row>
        <row r="207">
          <cell r="A207">
            <v>190</v>
          </cell>
          <cell r="B207">
            <v>111947</v>
          </cell>
          <cell r="C207">
            <v>0</v>
          </cell>
          <cell r="D207">
            <v>867608.25211583287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505649.51269499742</v>
          </cell>
        </row>
        <row r="208">
          <cell r="A208">
            <v>191</v>
          </cell>
          <cell r="B208">
            <v>112312</v>
          </cell>
          <cell r="C208">
            <v>0</v>
          </cell>
          <cell r="D208">
            <v>867608.25211583287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505649.51269499742</v>
          </cell>
        </row>
        <row r="209">
          <cell r="A209">
            <v>192</v>
          </cell>
          <cell r="B209">
            <v>112678</v>
          </cell>
          <cell r="C209">
            <v>0</v>
          </cell>
          <cell r="D209">
            <v>867608.25211583287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505649.51269499742</v>
          </cell>
        </row>
        <row r="210">
          <cell r="A210">
            <v>193</v>
          </cell>
          <cell r="B210">
            <v>113043</v>
          </cell>
          <cell r="C210">
            <v>0</v>
          </cell>
          <cell r="D210">
            <v>867608.25211583287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505649.51269499742</v>
          </cell>
        </row>
        <row r="211">
          <cell r="A211">
            <v>194</v>
          </cell>
          <cell r="B211">
            <v>113408</v>
          </cell>
          <cell r="C211">
            <v>0</v>
          </cell>
          <cell r="D211">
            <v>867608.25211583287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505649.51269499742</v>
          </cell>
        </row>
        <row r="212">
          <cell r="A212">
            <v>195</v>
          </cell>
          <cell r="B212">
            <v>113773</v>
          </cell>
          <cell r="C212">
            <v>0</v>
          </cell>
          <cell r="D212">
            <v>867608.25211583287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505649.51269499742</v>
          </cell>
        </row>
        <row r="213">
          <cell r="A213">
            <v>196</v>
          </cell>
          <cell r="B213">
            <v>114139</v>
          </cell>
          <cell r="C213">
            <v>0</v>
          </cell>
          <cell r="D213">
            <v>867608.25211583287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505649.51269499742</v>
          </cell>
        </row>
        <row r="214">
          <cell r="A214">
            <v>197</v>
          </cell>
          <cell r="B214">
            <v>114504</v>
          </cell>
          <cell r="C214">
            <v>0</v>
          </cell>
          <cell r="D214">
            <v>867608.25211583287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505649.51269499742</v>
          </cell>
        </row>
        <row r="215">
          <cell r="A215">
            <v>198</v>
          </cell>
          <cell r="B215">
            <v>114869</v>
          </cell>
          <cell r="C215">
            <v>0</v>
          </cell>
          <cell r="D215">
            <v>867608.25211583287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505649.51269499742</v>
          </cell>
        </row>
        <row r="216">
          <cell r="A216">
            <v>199</v>
          </cell>
          <cell r="B216">
            <v>115234</v>
          </cell>
          <cell r="C216">
            <v>0</v>
          </cell>
          <cell r="D216">
            <v>867608.25211583287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505649.51269499742</v>
          </cell>
        </row>
        <row r="217">
          <cell r="A217">
            <v>200</v>
          </cell>
          <cell r="B217">
            <v>115600</v>
          </cell>
          <cell r="C217">
            <v>0</v>
          </cell>
          <cell r="D217">
            <v>867608.25211583287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505649.51269499742</v>
          </cell>
        </row>
        <row r="218">
          <cell r="A218">
            <v>201</v>
          </cell>
          <cell r="B218">
            <v>115965</v>
          </cell>
          <cell r="C218">
            <v>0</v>
          </cell>
          <cell r="D218">
            <v>867608.25211583287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505649.51269499742</v>
          </cell>
        </row>
        <row r="219">
          <cell r="A219">
            <v>202</v>
          </cell>
          <cell r="B219">
            <v>116330</v>
          </cell>
          <cell r="C219">
            <v>0</v>
          </cell>
          <cell r="D219">
            <v>867608.25211583287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505649.51269499742</v>
          </cell>
        </row>
        <row r="220">
          <cell r="A220">
            <v>203</v>
          </cell>
          <cell r="B220">
            <v>116695</v>
          </cell>
          <cell r="C220">
            <v>0</v>
          </cell>
          <cell r="D220">
            <v>867608.25211583287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505649.51269499742</v>
          </cell>
        </row>
        <row r="221">
          <cell r="A221">
            <v>204</v>
          </cell>
          <cell r="B221">
            <v>117061</v>
          </cell>
          <cell r="C221">
            <v>0</v>
          </cell>
          <cell r="D221">
            <v>867608.25211583287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505649.51269499742</v>
          </cell>
        </row>
        <row r="222">
          <cell r="A222">
            <v>205</v>
          </cell>
          <cell r="B222">
            <v>117426</v>
          </cell>
          <cell r="C222">
            <v>0</v>
          </cell>
          <cell r="D222">
            <v>867608.25211583287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505649.51269499742</v>
          </cell>
        </row>
        <row r="223">
          <cell r="A223">
            <v>206</v>
          </cell>
          <cell r="B223">
            <v>117791</v>
          </cell>
          <cell r="C223">
            <v>0</v>
          </cell>
          <cell r="D223">
            <v>867608.25211583287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505649.51269499742</v>
          </cell>
        </row>
        <row r="224">
          <cell r="A224">
            <v>207</v>
          </cell>
          <cell r="B224">
            <v>118156</v>
          </cell>
          <cell r="C224">
            <v>0</v>
          </cell>
          <cell r="D224">
            <v>867608.25211583287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505649.51269499742</v>
          </cell>
        </row>
        <row r="225">
          <cell r="A225">
            <v>208</v>
          </cell>
          <cell r="B225">
            <v>118522</v>
          </cell>
          <cell r="C225">
            <v>0</v>
          </cell>
          <cell r="D225">
            <v>867608.25211583287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505649.51269499742</v>
          </cell>
        </row>
        <row r="226">
          <cell r="A226">
            <v>209</v>
          </cell>
          <cell r="B226">
            <v>118887</v>
          </cell>
          <cell r="C226">
            <v>0</v>
          </cell>
          <cell r="D226">
            <v>867608.25211583287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505649.51269499742</v>
          </cell>
        </row>
        <row r="227">
          <cell r="A227">
            <v>210</v>
          </cell>
          <cell r="B227">
            <v>119252</v>
          </cell>
          <cell r="C227">
            <v>0</v>
          </cell>
          <cell r="D227">
            <v>867608.25211583287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505649.51269499742</v>
          </cell>
        </row>
        <row r="228">
          <cell r="A228">
            <v>211</v>
          </cell>
          <cell r="B228">
            <v>119617</v>
          </cell>
          <cell r="C228">
            <v>0</v>
          </cell>
          <cell r="D228">
            <v>867608.25211583287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505649.51269499742</v>
          </cell>
        </row>
        <row r="229">
          <cell r="A229">
            <v>212</v>
          </cell>
          <cell r="B229">
            <v>119983</v>
          </cell>
          <cell r="C229">
            <v>0</v>
          </cell>
          <cell r="D229">
            <v>867608.25211583287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505649.51269499742</v>
          </cell>
        </row>
        <row r="230">
          <cell r="A230">
            <v>213</v>
          </cell>
          <cell r="B230">
            <v>120348</v>
          </cell>
          <cell r="C230">
            <v>0</v>
          </cell>
          <cell r="D230">
            <v>867608.25211583287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505649.51269499742</v>
          </cell>
        </row>
        <row r="231">
          <cell r="A231">
            <v>214</v>
          </cell>
          <cell r="B231">
            <v>120713</v>
          </cell>
          <cell r="C231">
            <v>0</v>
          </cell>
          <cell r="D231">
            <v>867608.25211583287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505649.51269499742</v>
          </cell>
        </row>
        <row r="232">
          <cell r="A232">
            <v>215</v>
          </cell>
          <cell r="B232">
            <v>121078</v>
          </cell>
          <cell r="C232">
            <v>0</v>
          </cell>
          <cell r="D232">
            <v>867608.25211583287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505649.51269499742</v>
          </cell>
        </row>
        <row r="233">
          <cell r="A233">
            <v>216</v>
          </cell>
          <cell r="B233">
            <v>121444</v>
          </cell>
          <cell r="C233">
            <v>0</v>
          </cell>
          <cell r="D233">
            <v>867608.25211583287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505649.51269499742</v>
          </cell>
        </row>
        <row r="234">
          <cell r="A234">
            <v>217</v>
          </cell>
          <cell r="B234">
            <v>121809</v>
          </cell>
          <cell r="C234">
            <v>0</v>
          </cell>
          <cell r="D234">
            <v>867608.25211583287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505649.51269499742</v>
          </cell>
        </row>
        <row r="235">
          <cell r="A235">
            <v>218</v>
          </cell>
          <cell r="B235">
            <v>122174</v>
          </cell>
          <cell r="C235">
            <v>0</v>
          </cell>
          <cell r="D235">
            <v>867608.25211583287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505649.51269499742</v>
          </cell>
        </row>
        <row r="236">
          <cell r="A236">
            <v>219</v>
          </cell>
          <cell r="B236">
            <v>122539</v>
          </cell>
          <cell r="C236">
            <v>0</v>
          </cell>
          <cell r="D236">
            <v>867608.25211583287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505649.51269499742</v>
          </cell>
        </row>
        <row r="237">
          <cell r="A237">
            <v>220</v>
          </cell>
          <cell r="B237">
            <v>122905</v>
          </cell>
          <cell r="C237">
            <v>0</v>
          </cell>
          <cell r="D237">
            <v>867608.25211583287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505649.51269499742</v>
          </cell>
        </row>
        <row r="238">
          <cell r="A238">
            <v>221</v>
          </cell>
          <cell r="B238">
            <v>123270</v>
          </cell>
          <cell r="C238">
            <v>0</v>
          </cell>
          <cell r="D238">
            <v>867608.25211583287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505649.51269499742</v>
          </cell>
        </row>
        <row r="239">
          <cell r="A239">
            <v>222</v>
          </cell>
          <cell r="B239">
            <v>123635</v>
          </cell>
          <cell r="C239">
            <v>0</v>
          </cell>
          <cell r="D239">
            <v>867608.25211583287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505649.51269499742</v>
          </cell>
        </row>
        <row r="240">
          <cell r="A240">
            <v>223</v>
          </cell>
          <cell r="B240">
            <v>124000</v>
          </cell>
          <cell r="C240">
            <v>0</v>
          </cell>
          <cell r="D240">
            <v>867608.25211583287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505649.51269499742</v>
          </cell>
        </row>
        <row r="241">
          <cell r="A241">
            <v>224</v>
          </cell>
          <cell r="B241">
            <v>124366</v>
          </cell>
          <cell r="C241">
            <v>0</v>
          </cell>
          <cell r="D241">
            <v>867608.25211583287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505649.51269499742</v>
          </cell>
        </row>
        <row r="242">
          <cell r="A242">
            <v>225</v>
          </cell>
          <cell r="B242">
            <v>124731</v>
          </cell>
          <cell r="C242">
            <v>0</v>
          </cell>
          <cell r="D242">
            <v>867608.25211583287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505649.51269499742</v>
          </cell>
        </row>
        <row r="243">
          <cell r="A243">
            <v>226</v>
          </cell>
          <cell r="B243">
            <v>125096</v>
          </cell>
          <cell r="C243">
            <v>0</v>
          </cell>
          <cell r="D243">
            <v>867608.25211583287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505649.51269499742</v>
          </cell>
        </row>
        <row r="244">
          <cell r="A244">
            <v>227</v>
          </cell>
          <cell r="B244">
            <v>125461</v>
          </cell>
          <cell r="C244">
            <v>0</v>
          </cell>
          <cell r="D244">
            <v>867608.25211583287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505649.51269499742</v>
          </cell>
        </row>
        <row r="245">
          <cell r="A245">
            <v>228</v>
          </cell>
          <cell r="B245">
            <v>125827</v>
          </cell>
          <cell r="C245">
            <v>0</v>
          </cell>
          <cell r="D245">
            <v>867608.25211583287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505649.51269499742</v>
          </cell>
        </row>
        <row r="246">
          <cell r="A246">
            <v>229</v>
          </cell>
          <cell r="B246">
            <v>126192</v>
          </cell>
          <cell r="C246">
            <v>0</v>
          </cell>
          <cell r="D246">
            <v>867608.25211583287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505649.51269499742</v>
          </cell>
        </row>
        <row r="247">
          <cell r="A247">
            <v>230</v>
          </cell>
          <cell r="B247">
            <v>126557</v>
          </cell>
          <cell r="C247">
            <v>0</v>
          </cell>
          <cell r="D247">
            <v>867608.25211583287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505649.51269499742</v>
          </cell>
        </row>
        <row r="248">
          <cell r="A248">
            <v>231</v>
          </cell>
          <cell r="B248">
            <v>126922</v>
          </cell>
          <cell r="C248">
            <v>0</v>
          </cell>
          <cell r="D248">
            <v>867608.25211583287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505649.51269499742</v>
          </cell>
        </row>
        <row r="249">
          <cell r="A249">
            <v>232</v>
          </cell>
          <cell r="B249">
            <v>127288</v>
          </cell>
          <cell r="C249">
            <v>0</v>
          </cell>
          <cell r="D249">
            <v>867608.25211583287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505649.51269499742</v>
          </cell>
        </row>
        <row r="250">
          <cell r="A250">
            <v>233</v>
          </cell>
          <cell r="B250">
            <v>127653</v>
          </cell>
          <cell r="C250">
            <v>0</v>
          </cell>
          <cell r="D250">
            <v>867608.25211583287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505649.51269499742</v>
          </cell>
        </row>
        <row r="251">
          <cell r="A251">
            <v>234</v>
          </cell>
          <cell r="B251">
            <v>128018</v>
          </cell>
          <cell r="C251">
            <v>0</v>
          </cell>
          <cell r="D251">
            <v>867608.25211583287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505649.51269499742</v>
          </cell>
        </row>
        <row r="252">
          <cell r="A252">
            <v>235</v>
          </cell>
          <cell r="B252">
            <v>128383</v>
          </cell>
          <cell r="C252">
            <v>0</v>
          </cell>
          <cell r="D252">
            <v>867608.25211583287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505649.51269499742</v>
          </cell>
        </row>
        <row r="253">
          <cell r="A253">
            <v>236</v>
          </cell>
          <cell r="B253">
            <v>128749</v>
          </cell>
          <cell r="C253">
            <v>0</v>
          </cell>
          <cell r="D253">
            <v>867608.25211583287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505649.51269499742</v>
          </cell>
        </row>
        <row r="254">
          <cell r="A254">
            <v>237</v>
          </cell>
          <cell r="B254">
            <v>129114</v>
          </cell>
          <cell r="C254">
            <v>0</v>
          </cell>
          <cell r="D254">
            <v>867608.25211583287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505649.51269499742</v>
          </cell>
        </row>
        <row r="255">
          <cell r="A255">
            <v>238</v>
          </cell>
          <cell r="B255">
            <v>129479</v>
          </cell>
          <cell r="C255">
            <v>0</v>
          </cell>
          <cell r="D255">
            <v>867608.25211583287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505649.51269499742</v>
          </cell>
        </row>
        <row r="256">
          <cell r="A256">
            <v>239</v>
          </cell>
          <cell r="B256">
            <v>129844</v>
          </cell>
          <cell r="C256">
            <v>0</v>
          </cell>
          <cell r="D256">
            <v>867608.25211583287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505649.51269499742</v>
          </cell>
        </row>
        <row r="257">
          <cell r="A257">
            <v>240</v>
          </cell>
          <cell r="B257">
            <v>130210</v>
          </cell>
          <cell r="C257">
            <v>0</v>
          </cell>
          <cell r="D257">
            <v>867608.25211583287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505649.51269499742</v>
          </cell>
        </row>
        <row r="258">
          <cell r="A258">
            <v>241</v>
          </cell>
          <cell r="B258">
            <v>130575</v>
          </cell>
          <cell r="C258">
            <v>0</v>
          </cell>
          <cell r="D258">
            <v>867608.25211583287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505649.51269499742</v>
          </cell>
        </row>
        <row r="259">
          <cell r="A259">
            <v>242</v>
          </cell>
          <cell r="B259">
            <v>130940</v>
          </cell>
          <cell r="C259">
            <v>0</v>
          </cell>
          <cell r="D259">
            <v>867608.25211583287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505649.51269499742</v>
          </cell>
        </row>
        <row r="260">
          <cell r="A260">
            <v>243</v>
          </cell>
          <cell r="B260">
            <v>131305</v>
          </cell>
          <cell r="C260">
            <v>0</v>
          </cell>
          <cell r="D260">
            <v>867608.25211583287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505649.51269499742</v>
          </cell>
        </row>
        <row r="261">
          <cell r="A261">
            <v>244</v>
          </cell>
          <cell r="B261">
            <v>131671</v>
          </cell>
          <cell r="C261">
            <v>0</v>
          </cell>
          <cell r="D261">
            <v>867608.25211583287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505649.51269499742</v>
          </cell>
        </row>
        <row r="262">
          <cell r="A262">
            <v>245</v>
          </cell>
          <cell r="B262">
            <v>132036</v>
          </cell>
          <cell r="C262">
            <v>0</v>
          </cell>
          <cell r="D262">
            <v>867608.25211583287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505649.51269499742</v>
          </cell>
        </row>
        <row r="263">
          <cell r="A263">
            <v>246</v>
          </cell>
          <cell r="B263">
            <v>132401</v>
          </cell>
          <cell r="C263">
            <v>0</v>
          </cell>
          <cell r="D263">
            <v>867608.25211583287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505649.51269499742</v>
          </cell>
        </row>
        <row r="264">
          <cell r="A264">
            <v>247</v>
          </cell>
          <cell r="B264">
            <v>132766</v>
          </cell>
          <cell r="C264">
            <v>0</v>
          </cell>
          <cell r="D264">
            <v>867608.25211583287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505649.51269499742</v>
          </cell>
        </row>
        <row r="265">
          <cell r="A265">
            <v>248</v>
          </cell>
          <cell r="B265">
            <v>133132</v>
          </cell>
          <cell r="C265">
            <v>0</v>
          </cell>
          <cell r="D265">
            <v>867608.25211583287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505649.51269499742</v>
          </cell>
        </row>
        <row r="266">
          <cell r="A266">
            <v>249</v>
          </cell>
          <cell r="B266">
            <v>133497</v>
          </cell>
          <cell r="C266">
            <v>0</v>
          </cell>
          <cell r="D266">
            <v>867608.25211583287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505649.51269499742</v>
          </cell>
        </row>
        <row r="267">
          <cell r="A267">
            <v>250</v>
          </cell>
          <cell r="B267">
            <v>133862</v>
          </cell>
          <cell r="C267">
            <v>0</v>
          </cell>
          <cell r="D267">
            <v>867608.25211583287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505649.51269499742</v>
          </cell>
        </row>
        <row r="268">
          <cell r="A268">
            <v>251</v>
          </cell>
          <cell r="B268">
            <v>134227</v>
          </cell>
          <cell r="C268">
            <v>0</v>
          </cell>
          <cell r="D268">
            <v>867608.25211583287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505649.51269499742</v>
          </cell>
        </row>
        <row r="269">
          <cell r="A269">
            <v>252</v>
          </cell>
          <cell r="B269">
            <v>134593</v>
          </cell>
          <cell r="C269">
            <v>0</v>
          </cell>
          <cell r="D269">
            <v>867608.25211583287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505649.51269499742</v>
          </cell>
        </row>
        <row r="270">
          <cell r="A270">
            <v>253</v>
          </cell>
          <cell r="B270">
            <v>134958</v>
          </cell>
          <cell r="C270">
            <v>0</v>
          </cell>
          <cell r="D270">
            <v>867608.25211583287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505649.51269499742</v>
          </cell>
        </row>
        <row r="271">
          <cell r="A271">
            <v>254</v>
          </cell>
          <cell r="B271">
            <v>135323</v>
          </cell>
          <cell r="C271">
            <v>0</v>
          </cell>
          <cell r="D271">
            <v>867608.25211583287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505649.51269499742</v>
          </cell>
        </row>
        <row r="272">
          <cell r="A272">
            <v>255</v>
          </cell>
          <cell r="B272">
            <v>135688</v>
          </cell>
          <cell r="C272">
            <v>0</v>
          </cell>
          <cell r="D272">
            <v>867608.25211583287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505649.51269499742</v>
          </cell>
        </row>
        <row r="273">
          <cell r="A273">
            <v>256</v>
          </cell>
          <cell r="B273">
            <v>136054</v>
          </cell>
          <cell r="C273">
            <v>0</v>
          </cell>
          <cell r="D273">
            <v>867608.25211583287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505649.51269499742</v>
          </cell>
        </row>
        <row r="274">
          <cell r="A274">
            <v>257</v>
          </cell>
          <cell r="B274">
            <v>136419</v>
          </cell>
          <cell r="C274">
            <v>0</v>
          </cell>
          <cell r="D274">
            <v>867608.25211583287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505649.51269499742</v>
          </cell>
        </row>
        <row r="275">
          <cell r="A275">
            <v>258</v>
          </cell>
          <cell r="B275">
            <v>136784</v>
          </cell>
          <cell r="C275">
            <v>0</v>
          </cell>
          <cell r="D275">
            <v>867608.25211583287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505649.51269499742</v>
          </cell>
        </row>
        <row r="276">
          <cell r="A276">
            <v>259</v>
          </cell>
          <cell r="B276">
            <v>137149</v>
          </cell>
          <cell r="C276">
            <v>0</v>
          </cell>
          <cell r="D276">
            <v>867608.25211583287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505649.51269499742</v>
          </cell>
        </row>
        <row r="277">
          <cell r="A277">
            <v>260</v>
          </cell>
          <cell r="B277">
            <v>137515</v>
          </cell>
          <cell r="C277">
            <v>0</v>
          </cell>
          <cell r="D277">
            <v>867608.25211583287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505649.51269499742</v>
          </cell>
        </row>
        <row r="278">
          <cell r="A278">
            <v>261</v>
          </cell>
          <cell r="B278">
            <v>137880</v>
          </cell>
          <cell r="C278">
            <v>0</v>
          </cell>
          <cell r="D278">
            <v>867608.25211583287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505649.51269499742</v>
          </cell>
        </row>
        <row r="279">
          <cell r="A279">
            <v>262</v>
          </cell>
          <cell r="B279">
            <v>138245</v>
          </cell>
          <cell r="C279">
            <v>0</v>
          </cell>
          <cell r="D279">
            <v>867608.25211583287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505649.51269499742</v>
          </cell>
        </row>
        <row r="280">
          <cell r="A280">
            <v>263</v>
          </cell>
          <cell r="B280">
            <v>138610</v>
          </cell>
          <cell r="C280">
            <v>0</v>
          </cell>
          <cell r="D280">
            <v>867608.25211583287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505649.51269499742</v>
          </cell>
        </row>
        <row r="281">
          <cell r="A281">
            <v>264</v>
          </cell>
          <cell r="B281">
            <v>138976</v>
          </cell>
          <cell r="C281">
            <v>0</v>
          </cell>
          <cell r="D281">
            <v>867608.25211583287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505649.51269499742</v>
          </cell>
        </row>
        <row r="282">
          <cell r="A282">
            <v>265</v>
          </cell>
          <cell r="B282">
            <v>139341</v>
          </cell>
          <cell r="C282">
            <v>0</v>
          </cell>
          <cell r="D282">
            <v>867608.25211583287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505649.51269499742</v>
          </cell>
        </row>
        <row r="283">
          <cell r="A283">
            <v>266</v>
          </cell>
          <cell r="B283">
            <v>139706</v>
          </cell>
          <cell r="C283">
            <v>0</v>
          </cell>
          <cell r="D283">
            <v>867608.25211583287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505649.51269499742</v>
          </cell>
        </row>
        <row r="284">
          <cell r="A284">
            <v>267</v>
          </cell>
          <cell r="B284">
            <v>140071</v>
          </cell>
          <cell r="C284">
            <v>0</v>
          </cell>
          <cell r="D284">
            <v>867608.25211583287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505649.51269499742</v>
          </cell>
        </row>
        <row r="285">
          <cell r="A285">
            <v>268</v>
          </cell>
          <cell r="B285">
            <v>140437</v>
          </cell>
          <cell r="C285">
            <v>0</v>
          </cell>
          <cell r="D285">
            <v>867608.25211583287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505649.51269499742</v>
          </cell>
        </row>
        <row r="286">
          <cell r="A286">
            <v>269</v>
          </cell>
          <cell r="B286">
            <v>140802</v>
          </cell>
          <cell r="C286">
            <v>0</v>
          </cell>
          <cell r="D286">
            <v>867608.25211583287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505649.51269499742</v>
          </cell>
        </row>
        <row r="287">
          <cell r="A287">
            <v>270</v>
          </cell>
          <cell r="B287">
            <v>141167</v>
          </cell>
          <cell r="C287">
            <v>0</v>
          </cell>
          <cell r="D287">
            <v>867608.25211583287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505649.51269499742</v>
          </cell>
        </row>
        <row r="288">
          <cell r="A288">
            <v>271</v>
          </cell>
          <cell r="B288">
            <v>141532</v>
          </cell>
          <cell r="C288">
            <v>0</v>
          </cell>
          <cell r="D288">
            <v>867608.25211583287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505649.51269499742</v>
          </cell>
        </row>
        <row r="289">
          <cell r="A289">
            <v>272</v>
          </cell>
          <cell r="B289">
            <v>141898</v>
          </cell>
          <cell r="C289">
            <v>0</v>
          </cell>
          <cell r="D289">
            <v>867608.25211583287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505649.51269499742</v>
          </cell>
        </row>
        <row r="290">
          <cell r="A290">
            <v>273</v>
          </cell>
          <cell r="B290">
            <v>142263</v>
          </cell>
          <cell r="C290">
            <v>0</v>
          </cell>
          <cell r="D290">
            <v>867608.25211583287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505649.51269499742</v>
          </cell>
        </row>
        <row r="291">
          <cell r="A291">
            <v>274</v>
          </cell>
          <cell r="B291">
            <v>142628</v>
          </cell>
          <cell r="C291">
            <v>0</v>
          </cell>
          <cell r="D291">
            <v>867608.25211583287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505649.51269499742</v>
          </cell>
        </row>
        <row r="292">
          <cell r="A292">
            <v>275</v>
          </cell>
          <cell r="B292">
            <v>142993</v>
          </cell>
          <cell r="C292">
            <v>0</v>
          </cell>
          <cell r="D292">
            <v>867608.25211583287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505649.51269499742</v>
          </cell>
        </row>
        <row r="293">
          <cell r="A293">
            <v>276</v>
          </cell>
          <cell r="B293">
            <v>143359</v>
          </cell>
          <cell r="C293">
            <v>0</v>
          </cell>
          <cell r="D293">
            <v>867608.25211583287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505649.51269499742</v>
          </cell>
        </row>
        <row r="294">
          <cell r="A294">
            <v>277</v>
          </cell>
          <cell r="B294">
            <v>143724</v>
          </cell>
          <cell r="C294">
            <v>0</v>
          </cell>
          <cell r="D294">
            <v>867608.25211583287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505649.51269499742</v>
          </cell>
        </row>
        <row r="295">
          <cell r="A295">
            <v>278</v>
          </cell>
          <cell r="B295">
            <v>144089</v>
          </cell>
          <cell r="C295">
            <v>0</v>
          </cell>
          <cell r="D295">
            <v>867608.25211583287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505649.51269499742</v>
          </cell>
        </row>
        <row r="296">
          <cell r="A296">
            <v>279</v>
          </cell>
          <cell r="B296">
            <v>144454</v>
          </cell>
          <cell r="C296">
            <v>0</v>
          </cell>
          <cell r="D296">
            <v>867608.25211583287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505649.51269499742</v>
          </cell>
        </row>
        <row r="297">
          <cell r="A297">
            <v>280</v>
          </cell>
          <cell r="B297">
            <v>144820</v>
          </cell>
          <cell r="C297">
            <v>0</v>
          </cell>
          <cell r="D297">
            <v>867608.25211583287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505649.51269499742</v>
          </cell>
        </row>
        <row r="298">
          <cell r="A298">
            <v>281</v>
          </cell>
          <cell r="B298">
            <v>145185</v>
          </cell>
          <cell r="C298">
            <v>0</v>
          </cell>
          <cell r="D298">
            <v>867608.25211583287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505649.51269499742</v>
          </cell>
        </row>
        <row r="299">
          <cell r="A299">
            <v>282</v>
          </cell>
          <cell r="B299">
            <v>145550</v>
          </cell>
          <cell r="C299">
            <v>0</v>
          </cell>
          <cell r="D299">
            <v>867608.25211583287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505649.51269499742</v>
          </cell>
        </row>
        <row r="300">
          <cell r="A300">
            <v>283</v>
          </cell>
          <cell r="B300">
            <v>145915</v>
          </cell>
          <cell r="C300">
            <v>0</v>
          </cell>
          <cell r="D300">
            <v>867608.25211583287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505649.51269499742</v>
          </cell>
        </row>
        <row r="301">
          <cell r="A301">
            <v>284</v>
          </cell>
          <cell r="B301">
            <v>146280</v>
          </cell>
          <cell r="C301">
            <v>0</v>
          </cell>
          <cell r="D301">
            <v>867608.25211583287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505649.51269499742</v>
          </cell>
        </row>
        <row r="302">
          <cell r="A302">
            <v>285</v>
          </cell>
          <cell r="B302">
            <v>146645</v>
          </cell>
          <cell r="C302">
            <v>0</v>
          </cell>
          <cell r="D302">
            <v>867608.25211583287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505649.51269499742</v>
          </cell>
        </row>
        <row r="303">
          <cell r="A303">
            <v>286</v>
          </cell>
          <cell r="B303">
            <v>147010</v>
          </cell>
          <cell r="C303">
            <v>0</v>
          </cell>
          <cell r="D303">
            <v>867608.25211583287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505649.51269499742</v>
          </cell>
        </row>
        <row r="304">
          <cell r="A304">
            <v>287</v>
          </cell>
          <cell r="B304">
            <v>147375</v>
          </cell>
          <cell r="C304">
            <v>0</v>
          </cell>
          <cell r="D304">
            <v>867608.25211583287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505649.51269499742</v>
          </cell>
        </row>
        <row r="305">
          <cell r="A305">
            <v>288</v>
          </cell>
          <cell r="B305">
            <v>147741</v>
          </cell>
          <cell r="C305">
            <v>0</v>
          </cell>
          <cell r="D305">
            <v>867608.25211583287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505649.51269499742</v>
          </cell>
        </row>
        <row r="306">
          <cell r="A306">
            <v>289</v>
          </cell>
          <cell r="B306">
            <v>148106</v>
          </cell>
          <cell r="C306">
            <v>0</v>
          </cell>
          <cell r="D306">
            <v>867608.25211583287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505649.51269499742</v>
          </cell>
        </row>
        <row r="307">
          <cell r="A307">
            <v>290</v>
          </cell>
          <cell r="B307">
            <v>148471</v>
          </cell>
          <cell r="C307">
            <v>0</v>
          </cell>
          <cell r="D307">
            <v>867608.25211583287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505649.51269499742</v>
          </cell>
        </row>
        <row r="308">
          <cell r="A308">
            <v>291</v>
          </cell>
          <cell r="B308">
            <v>148836</v>
          </cell>
          <cell r="C308">
            <v>0</v>
          </cell>
          <cell r="D308">
            <v>867608.25211583287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505649.51269499742</v>
          </cell>
        </row>
        <row r="309">
          <cell r="A309">
            <v>292</v>
          </cell>
          <cell r="B309">
            <v>149202</v>
          </cell>
          <cell r="C309">
            <v>0</v>
          </cell>
          <cell r="D309">
            <v>867608.25211583287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505649.51269499742</v>
          </cell>
        </row>
        <row r="310">
          <cell r="A310">
            <v>293</v>
          </cell>
          <cell r="B310">
            <v>149567</v>
          </cell>
          <cell r="C310">
            <v>0</v>
          </cell>
          <cell r="D310">
            <v>867608.25211583287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505649.51269499742</v>
          </cell>
        </row>
        <row r="311">
          <cell r="A311">
            <v>294</v>
          </cell>
          <cell r="B311">
            <v>149932</v>
          </cell>
          <cell r="C311">
            <v>0</v>
          </cell>
          <cell r="D311">
            <v>867608.25211583287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505649.51269499742</v>
          </cell>
        </row>
        <row r="312">
          <cell r="A312">
            <v>295</v>
          </cell>
          <cell r="B312">
            <v>150297</v>
          </cell>
          <cell r="C312">
            <v>0</v>
          </cell>
          <cell r="D312">
            <v>867608.25211583287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505649.51269499742</v>
          </cell>
        </row>
        <row r="313">
          <cell r="A313">
            <v>296</v>
          </cell>
          <cell r="B313">
            <v>150663</v>
          </cell>
          <cell r="C313">
            <v>0</v>
          </cell>
          <cell r="D313">
            <v>867608.25211583287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505649.51269499742</v>
          </cell>
        </row>
        <row r="314">
          <cell r="A314">
            <v>297</v>
          </cell>
          <cell r="B314">
            <v>151028</v>
          </cell>
          <cell r="C314">
            <v>0</v>
          </cell>
          <cell r="D314">
            <v>867608.25211583287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505649.51269499742</v>
          </cell>
        </row>
        <row r="315">
          <cell r="A315">
            <v>298</v>
          </cell>
          <cell r="B315">
            <v>151393</v>
          </cell>
          <cell r="C315">
            <v>0</v>
          </cell>
          <cell r="D315">
            <v>867608.25211583287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505649.51269499742</v>
          </cell>
        </row>
        <row r="316">
          <cell r="A316">
            <v>299</v>
          </cell>
          <cell r="B316">
            <v>151758</v>
          </cell>
          <cell r="C316">
            <v>0</v>
          </cell>
          <cell r="D316">
            <v>867608.25211583287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505649.51269499742</v>
          </cell>
        </row>
        <row r="317">
          <cell r="A317">
            <v>300</v>
          </cell>
          <cell r="B317">
            <v>152124</v>
          </cell>
          <cell r="C317">
            <v>0</v>
          </cell>
          <cell r="D317">
            <v>867608.25211583287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505649.51269499742</v>
          </cell>
        </row>
        <row r="318">
          <cell r="A318">
            <v>301</v>
          </cell>
          <cell r="B318">
            <v>152489</v>
          </cell>
          <cell r="C318">
            <v>0</v>
          </cell>
          <cell r="D318">
            <v>867608.25211583287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505649.51269499742</v>
          </cell>
        </row>
        <row r="319">
          <cell r="A319">
            <v>302</v>
          </cell>
          <cell r="B319">
            <v>152854</v>
          </cell>
          <cell r="C319">
            <v>0</v>
          </cell>
          <cell r="D319">
            <v>867608.25211583287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505649.51269499742</v>
          </cell>
        </row>
        <row r="320">
          <cell r="A320">
            <v>303</v>
          </cell>
          <cell r="B320">
            <v>153219</v>
          </cell>
          <cell r="C320">
            <v>0</v>
          </cell>
          <cell r="D320">
            <v>867608.25211583287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505649.51269499742</v>
          </cell>
        </row>
        <row r="321">
          <cell r="A321">
            <v>304</v>
          </cell>
          <cell r="B321">
            <v>153585</v>
          </cell>
          <cell r="C321">
            <v>0</v>
          </cell>
          <cell r="D321">
            <v>867608.25211583287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505649.51269499742</v>
          </cell>
        </row>
        <row r="322">
          <cell r="A322">
            <v>305</v>
          </cell>
          <cell r="B322">
            <v>153950</v>
          </cell>
          <cell r="C322">
            <v>0</v>
          </cell>
          <cell r="D322">
            <v>867608.25211583287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505649.51269499742</v>
          </cell>
        </row>
        <row r="323">
          <cell r="A323">
            <v>306</v>
          </cell>
          <cell r="B323">
            <v>154315</v>
          </cell>
          <cell r="C323">
            <v>0</v>
          </cell>
          <cell r="D323">
            <v>867608.25211583287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505649.51269499742</v>
          </cell>
        </row>
        <row r="324">
          <cell r="A324">
            <v>307</v>
          </cell>
          <cell r="B324">
            <v>154680</v>
          </cell>
          <cell r="C324">
            <v>0</v>
          </cell>
          <cell r="D324">
            <v>867608.25211583287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505649.51269499742</v>
          </cell>
        </row>
        <row r="325">
          <cell r="A325">
            <v>308</v>
          </cell>
          <cell r="B325">
            <v>155046</v>
          </cell>
          <cell r="C325">
            <v>0</v>
          </cell>
          <cell r="D325">
            <v>867608.25211583287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505649.51269499742</v>
          </cell>
        </row>
        <row r="326">
          <cell r="A326">
            <v>309</v>
          </cell>
          <cell r="B326">
            <v>155411</v>
          </cell>
          <cell r="C326">
            <v>0</v>
          </cell>
          <cell r="D326">
            <v>867608.25211583287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505649.51269499742</v>
          </cell>
        </row>
        <row r="327">
          <cell r="A327">
            <v>310</v>
          </cell>
          <cell r="B327">
            <v>155776</v>
          </cell>
          <cell r="C327">
            <v>0</v>
          </cell>
          <cell r="D327">
            <v>867608.25211583287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505649.51269499742</v>
          </cell>
        </row>
        <row r="328">
          <cell r="A328">
            <v>311</v>
          </cell>
          <cell r="B328">
            <v>156141</v>
          </cell>
          <cell r="C328">
            <v>0</v>
          </cell>
          <cell r="D328">
            <v>867608.25211583287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505649.51269499742</v>
          </cell>
        </row>
        <row r="329">
          <cell r="A329">
            <v>312</v>
          </cell>
          <cell r="B329">
            <v>156507</v>
          </cell>
          <cell r="C329">
            <v>0</v>
          </cell>
          <cell r="D329">
            <v>867608.25211583287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505649.51269499742</v>
          </cell>
        </row>
        <row r="330">
          <cell r="A330">
            <v>313</v>
          </cell>
          <cell r="B330">
            <v>156872</v>
          </cell>
          <cell r="C330">
            <v>0</v>
          </cell>
          <cell r="D330">
            <v>867608.25211583287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505649.51269499742</v>
          </cell>
        </row>
        <row r="331">
          <cell r="A331">
            <v>314</v>
          </cell>
          <cell r="B331">
            <v>157237</v>
          </cell>
          <cell r="C331">
            <v>0</v>
          </cell>
          <cell r="D331">
            <v>867608.25211583287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505649.51269499742</v>
          </cell>
        </row>
        <row r="332">
          <cell r="A332">
            <v>315</v>
          </cell>
          <cell r="B332">
            <v>157602</v>
          </cell>
          <cell r="C332">
            <v>0</v>
          </cell>
          <cell r="D332">
            <v>867608.25211583287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505649.51269499742</v>
          </cell>
        </row>
        <row r="333">
          <cell r="A333">
            <v>316</v>
          </cell>
          <cell r="B333">
            <v>157968</v>
          </cell>
          <cell r="C333">
            <v>0</v>
          </cell>
          <cell r="D333">
            <v>867608.25211583287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505649.51269499742</v>
          </cell>
        </row>
        <row r="334">
          <cell r="A334">
            <v>317</v>
          </cell>
          <cell r="B334">
            <v>158333</v>
          </cell>
          <cell r="C334">
            <v>0</v>
          </cell>
          <cell r="D334">
            <v>867608.25211583287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505649.51269499742</v>
          </cell>
        </row>
        <row r="335">
          <cell r="A335">
            <v>318</v>
          </cell>
          <cell r="B335">
            <v>158698</v>
          </cell>
          <cell r="C335">
            <v>0</v>
          </cell>
          <cell r="D335">
            <v>867608.25211583287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505649.51269499742</v>
          </cell>
        </row>
        <row r="336">
          <cell r="A336">
            <v>319</v>
          </cell>
          <cell r="B336">
            <v>159063</v>
          </cell>
          <cell r="C336">
            <v>0</v>
          </cell>
          <cell r="D336">
            <v>867608.25211583287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505649.51269499742</v>
          </cell>
        </row>
        <row r="337">
          <cell r="A337">
            <v>320</v>
          </cell>
          <cell r="B337">
            <v>159429</v>
          </cell>
          <cell r="C337">
            <v>0</v>
          </cell>
          <cell r="D337">
            <v>867608.25211583287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505649.51269499742</v>
          </cell>
        </row>
        <row r="338">
          <cell r="A338">
            <v>321</v>
          </cell>
          <cell r="B338">
            <v>159794</v>
          </cell>
          <cell r="C338">
            <v>0</v>
          </cell>
          <cell r="D338">
            <v>867608.25211583287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505649.51269499742</v>
          </cell>
        </row>
        <row r="339">
          <cell r="A339">
            <v>322</v>
          </cell>
          <cell r="B339">
            <v>160159</v>
          </cell>
          <cell r="C339">
            <v>0</v>
          </cell>
          <cell r="D339">
            <v>867608.25211583287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505649.51269499742</v>
          </cell>
        </row>
        <row r="340">
          <cell r="A340">
            <v>323</v>
          </cell>
          <cell r="B340">
            <v>160524</v>
          </cell>
          <cell r="C340">
            <v>0</v>
          </cell>
          <cell r="D340">
            <v>867608.25211583287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505649.51269499742</v>
          </cell>
        </row>
        <row r="341">
          <cell r="A341">
            <v>324</v>
          </cell>
          <cell r="B341">
            <v>160890</v>
          </cell>
          <cell r="C341">
            <v>0</v>
          </cell>
          <cell r="D341">
            <v>867608.25211583287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505649.51269499742</v>
          </cell>
        </row>
        <row r="342">
          <cell r="A342">
            <v>325</v>
          </cell>
          <cell r="B342">
            <v>161255</v>
          </cell>
          <cell r="C342">
            <v>0</v>
          </cell>
          <cell r="D342">
            <v>867608.25211583287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505649.51269499742</v>
          </cell>
        </row>
        <row r="343">
          <cell r="A343">
            <v>326</v>
          </cell>
          <cell r="B343">
            <v>161620</v>
          </cell>
          <cell r="C343">
            <v>0</v>
          </cell>
          <cell r="D343">
            <v>867608.25211583287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505649.51269499742</v>
          </cell>
        </row>
        <row r="344">
          <cell r="A344">
            <v>327</v>
          </cell>
          <cell r="B344">
            <v>161985</v>
          </cell>
          <cell r="C344">
            <v>0</v>
          </cell>
          <cell r="D344">
            <v>867608.25211583287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505649.51269499742</v>
          </cell>
        </row>
        <row r="345">
          <cell r="A345">
            <v>328</v>
          </cell>
          <cell r="B345">
            <v>162351</v>
          </cell>
          <cell r="C345">
            <v>0</v>
          </cell>
          <cell r="D345">
            <v>867608.25211583287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505649.51269499742</v>
          </cell>
        </row>
        <row r="346">
          <cell r="A346">
            <v>329</v>
          </cell>
          <cell r="B346">
            <v>162716</v>
          </cell>
          <cell r="C346">
            <v>0</v>
          </cell>
          <cell r="D346">
            <v>867608.25211583287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505649.51269499742</v>
          </cell>
        </row>
        <row r="347">
          <cell r="A347">
            <v>330</v>
          </cell>
          <cell r="B347">
            <v>163081</v>
          </cell>
          <cell r="C347">
            <v>0</v>
          </cell>
          <cell r="D347">
            <v>867608.25211583287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505649.51269499742</v>
          </cell>
        </row>
        <row r="348">
          <cell r="A348">
            <v>331</v>
          </cell>
          <cell r="B348">
            <v>163446</v>
          </cell>
          <cell r="C348">
            <v>0</v>
          </cell>
          <cell r="D348">
            <v>867608.25211583287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505649.51269499742</v>
          </cell>
        </row>
        <row r="349">
          <cell r="A349">
            <v>332</v>
          </cell>
          <cell r="B349">
            <v>163812</v>
          </cell>
          <cell r="C349">
            <v>0</v>
          </cell>
          <cell r="D349">
            <v>867608.25211583287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505649.51269499742</v>
          </cell>
        </row>
        <row r="350">
          <cell r="A350">
            <v>333</v>
          </cell>
          <cell r="B350">
            <v>164177</v>
          </cell>
          <cell r="C350">
            <v>0</v>
          </cell>
          <cell r="D350">
            <v>867608.25211583287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505649.51269499742</v>
          </cell>
        </row>
        <row r="351">
          <cell r="A351">
            <v>334</v>
          </cell>
          <cell r="B351">
            <v>164542</v>
          </cell>
          <cell r="C351">
            <v>0</v>
          </cell>
          <cell r="D351">
            <v>867608.25211583287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505649.51269499742</v>
          </cell>
        </row>
        <row r="352">
          <cell r="A352">
            <v>335</v>
          </cell>
          <cell r="B352">
            <v>164907</v>
          </cell>
          <cell r="C352">
            <v>0</v>
          </cell>
          <cell r="D352">
            <v>867608.25211583287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505649.51269499742</v>
          </cell>
        </row>
        <row r="353">
          <cell r="A353">
            <v>336</v>
          </cell>
          <cell r="B353">
            <v>165273</v>
          </cell>
          <cell r="C353">
            <v>0</v>
          </cell>
          <cell r="D353">
            <v>867608.25211583287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505649.51269499742</v>
          </cell>
        </row>
        <row r="354">
          <cell r="A354">
            <v>337</v>
          </cell>
          <cell r="B354">
            <v>165638</v>
          </cell>
          <cell r="C354">
            <v>0</v>
          </cell>
          <cell r="D354">
            <v>867608.25211583287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505649.51269499742</v>
          </cell>
        </row>
        <row r="355">
          <cell r="A355">
            <v>338</v>
          </cell>
          <cell r="B355">
            <v>166003</v>
          </cell>
          <cell r="C355">
            <v>0</v>
          </cell>
          <cell r="D355">
            <v>867608.25211583287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505649.51269499742</v>
          </cell>
        </row>
        <row r="356">
          <cell r="A356">
            <v>339</v>
          </cell>
          <cell r="B356">
            <v>166368</v>
          </cell>
          <cell r="C356">
            <v>0</v>
          </cell>
          <cell r="D356">
            <v>867608.25211583287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505649.51269499742</v>
          </cell>
        </row>
        <row r="357">
          <cell r="A357">
            <v>340</v>
          </cell>
          <cell r="B357">
            <v>166734</v>
          </cell>
          <cell r="C357">
            <v>0</v>
          </cell>
          <cell r="D357">
            <v>867608.25211583287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505649.51269499742</v>
          </cell>
        </row>
        <row r="358">
          <cell r="A358">
            <v>341</v>
          </cell>
          <cell r="B358">
            <v>167099</v>
          </cell>
          <cell r="C358">
            <v>0</v>
          </cell>
          <cell r="D358">
            <v>867608.25211583287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505649.51269499742</v>
          </cell>
        </row>
        <row r="359">
          <cell r="A359">
            <v>342</v>
          </cell>
          <cell r="B359">
            <v>167464</v>
          </cell>
          <cell r="C359">
            <v>0</v>
          </cell>
          <cell r="D359">
            <v>867608.25211583287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505649.51269499742</v>
          </cell>
        </row>
        <row r="360">
          <cell r="A360">
            <v>343</v>
          </cell>
          <cell r="B360">
            <v>167829</v>
          </cell>
          <cell r="C360">
            <v>0</v>
          </cell>
          <cell r="D360">
            <v>867608.25211583287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505649.51269499742</v>
          </cell>
        </row>
        <row r="361">
          <cell r="A361">
            <v>344</v>
          </cell>
          <cell r="B361">
            <v>168195</v>
          </cell>
          <cell r="C361">
            <v>0</v>
          </cell>
          <cell r="D361">
            <v>867608.25211583287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505649.51269499742</v>
          </cell>
        </row>
        <row r="362">
          <cell r="A362">
            <v>345</v>
          </cell>
          <cell r="B362">
            <v>168560</v>
          </cell>
          <cell r="C362">
            <v>0</v>
          </cell>
          <cell r="D362">
            <v>867608.25211583287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505649.51269499742</v>
          </cell>
        </row>
        <row r="363">
          <cell r="A363">
            <v>346</v>
          </cell>
          <cell r="B363">
            <v>168925</v>
          </cell>
          <cell r="C363">
            <v>0</v>
          </cell>
          <cell r="D363">
            <v>867608.25211583287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505649.51269499742</v>
          </cell>
        </row>
        <row r="364">
          <cell r="A364">
            <v>347</v>
          </cell>
          <cell r="B364">
            <v>169290</v>
          </cell>
          <cell r="C364">
            <v>0</v>
          </cell>
          <cell r="D364">
            <v>867608.25211583287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505649.51269499742</v>
          </cell>
        </row>
        <row r="365">
          <cell r="A365">
            <v>348</v>
          </cell>
          <cell r="B365">
            <v>169656</v>
          </cell>
          <cell r="C365">
            <v>0</v>
          </cell>
          <cell r="D365">
            <v>867608.25211583287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505649.51269499742</v>
          </cell>
        </row>
        <row r="366">
          <cell r="A366">
            <v>349</v>
          </cell>
          <cell r="B366">
            <v>170021</v>
          </cell>
          <cell r="C366">
            <v>0</v>
          </cell>
          <cell r="D366">
            <v>867608.25211583287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505649.51269499742</v>
          </cell>
        </row>
        <row r="367">
          <cell r="A367">
            <v>350</v>
          </cell>
          <cell r="B367">
            <v>170386</v>
          </cell>
          <cell r="C367">
            <v>0</v>
          </cell>
          <cell r="D367">
            <v>867608.25211583287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505649.51269499742</v>
          </cell>
        </row>
        <row r="368">
          <cell r="A368">
            <v>351</v>
          </cell>
          <cell r="B368">
            <v>170751</v>
          </cell>
          <cell r="C368">
            <v>0</v>
          </cell>
          <cell r="D368">
            <v>867608.25211583287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505649.51269499742</v>
          </cell>
        </row>
        <row r="369">
          <cell r="A369">
            <v>352</v>
          </cell>
          <cell r="B369">
            <v>171117</v>
          </cell>
          <cell r="C369">
            <v>0</v>
          </cell>
          <cell r="D369">
            <v>867608.25211583287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505649.51269499742</v>
          </cell>
        </row>
        <row r="370">
          <cell r="A370">
            <v>353</v>
          </cell>
          <cell r="B370">
            <v>171482</v>
          </cell>
          <cell r="C370">
            <v>0</v>
          </cell>
          <cell r="D370">
            <v>867608.25211583287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505649.51269499742</v>
          </cell>
        </row>
        <row r="371">
          <cell r="A371">
            <v>354</v>
          </cell>
          <cell r="B371">
            <v>171847</v>
          </cell>
          <cell r="C371">
            <v>0</v>
          </cell>
          <cell r="D371">
            <v>867608.25211583287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505649.51269499742</v>
          </cell>
        </row>
        <row r="372">
          <cell r="A372">
            <v>355</v>
          </cell>
          <cell r="B372">
            <v>172212</v>
          </cell>
          <cell r="C372">
            <v>0</v>
          </cell>
          <cell r="D372">
            <v>867608.25211583287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505649.51269499742</v>
          </cell>
        </row>
        <row r="373">
          <cell r="A373">
            <v>356</v>
          </cell>
          <cell r="B373">
            <v>172578</v>
          </cell>
          <cell r="C373">
            <v>0</v>
          </cell>
          <cell r="D373">
            <v>867608.25211583287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505649.51269499742</v>
          </cell>
        </row>
        <row r="374">
          <cell r="A374">
            <v>357</v>
          </cell>
          <cell r="B374">
            <v>172943</v>
          </cell>
          <cell r="C374">
            <v>0</v>
          </cell>
          <cell r="D374">
            <v>867608.25211583287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505649.51269499742</v>
          </cell>
        </row>
        <row r="375">
          <cell r="A375">
            <v>358</v>
          </cell>
          <cell r="B375">
            <v>173308</v>
          </cell>
          <cell r="C375">
            <v>0</v>
          </cell>
          <cell r="D375">
            <v>867608.25211583287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505649.51269499742</v>
          </cell>
        </row>
        <row r="376">
          <cell r="A376">
            <v>359</v>
          </cell>
          <cell r="B376">
            <v>173673</v>
          </cell>
          <cell r="C376">
            <v>0</v>
          </cell>
          <cell r="D376">
            <v>867608.25211583287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505649.51269499742</v>
          </cell>
        </row>
        <row r="377">
          <cell r="A377">
            <v>360</v>
          </cell>
          <cell r="B377">
            <v>174039</v>
          </cell>
          <cell r="C377">
            <v>0</v>
          </cell>
          <cell r="D377">
            <v>867608.25211583287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505649.51269499742</v>
          </cell>
        </row>
        <row r="378">
          <cell r="A378">
            <v>361</v>
          </cell>
          <cell r="B378">
            <v>174404</v>
          </cell>
          <cell r="C378">
            <v>0</v>
          </cell>
          <cell r="D378">
            <v>867608.25211583287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505649.51269499742</v>
          </cell>
        </row>
        <row r="379">
          <cell r="A379">
            <v>362</v>
          </cell>
          <cell r="B379">
            <v>174769</v>
          </cell>
          <cell r="C379">
            <v>0</v>
          </cell>
          <cell r="D379">
            <v>867608.25211583287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505649.51269499742</v>
          </cell>
        </row>
        <row r="380">
          <cell r="A380">
            <v>363</v>
          </cell>
          <cell r="B380">
            <v>175134</v>
          </cell>
          <cell r="C380">
            <v>0</v>
          </cell>
          <cell r="D380">
            <v>867608.25211583287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505649.51269499742</v>
          </cell>
        </row>
        <row r="381">
          <cell r="A381">
            <v>364</v>
          </cell>
          <cell r="B381">
            <v>175500</v>
          </cell>
          <cell r="C381">
            <v>0</v>
          </cell>
          <cell r="D381">
            <v>867608.25211583287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505649.51269499742</v>
          </cell>
        </row>
        <row r="382">
          <cell r="A382">
            <v>365</v>
          </cell>
          <cell r="B382">
            <v>175865</v>
          </cell>
          <cell r="C382">
            <v>0</v>
          </cell>
          <cell r="D382">
            <v>867608.25211583287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505649.51269499742</v>
          </cell>
        </row>
        <row r="383">
          <cell r="A383">
            <v>366</v>
          </cell>
          <cell r="B383">
            <v>176230</v>
          </cell>
          <cell r="C383">
            <v>0</v>
          </cell>
          <cell r="D383">
            <v>867608.25211583287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505649.51269499742</v>
          </cell>
        </row>
        <row r="384">
          <cell r="A384">
            <v>367</v>
          </cell>
          <cell r="B384">
            <v>176595</v>
          </cell>
          <cell r="C384">
            <v>0</v>
          </cell>
          <cell r="D384">
            <v>867608.25211583287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505649.51269499742</v>
          </cell>
        </row>
        <row r="385">
          <cell r="A385">
            <v>368</v>
          </cell>
          <cell r="B385">
            <v>176961</v>
          </cell>
          <cell r="C385">
            <v>0</v>
          </cell>
          <cell r="D385">
            <v>867608.25211583287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505649.51269499742</v>
          </cell>
        </row>
        <row r="386">
          <cell r="A386">
            <v>369</v>
          </cell>
          <cell r="B386">
            <v>177326</v>
          </cell>
          <cell r="C386">
            <v>0</v>
          </cell>
          <cell r="D386">
            <v>867608.25211583287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505649.51269499742</v>
          </cell>
        </row>
        <row r="387">
          <cell r="A387">
            <v>370</v>
          </cell>
          <cell r="B387">
            <v>177691</v>
          </cell>
          <cell r="C387">
            <v>0</v>
          </cell>
          <cell r="D387">
            <v>867608.25211583287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505649.51269499742</v>
          </cell>
        </row>
        <row r="388">
          <cell r="A388">
            <v>371</v>
          </cell>
          <cell r="B388">
            <v>178056</v>
          </cell>
          <cell r="C388">
            <v>0</v>
          </cell>
          <cell r="D388">
            <v>867608.25211583287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505649.51269499742</v>
          </cell>
        </row>
        <row r="389">
          <cell r="A389">
            <v>372</v>
          </cell>
          <cell r="B389">
            <v>178422</v>
          </cell>
          <cell r="C389">
            <v>0</v>
          </cell>
          <cell r="D389">
            <v>867608.25211583287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505649.51269499742</v>
          </cell>
        </row>
        <row r="390">
          <cell r="A390">
            <v>373</v>
          </cell>
          <cell r="B390">
            <v>178787</v>
          </cell>
          <cell r="C390">
            <v>0</v>
          </cell>
          <cell r="D390">
            <v>867608.25211583287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505649.51269499742</v>
          </cell>
        </row>
        <row r="391">
          <cell r="A391">
            <v>374</v>
          </cell>
          <cell r="B391">
            <v>179152</v>
          </cell>
          <cell r="C391">
            <v>0</v>
          </cell>
          <cell r="D391">
            <v>867608.25211583287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505649.51269499742</v>
          </cell>
        </row>
        <row r="392">
          <cell r="A392">
            <v>375</v>
          </cell>
          <cell r="B392">
            <v>179517</v>
          </cell>
          <cell r="C392">
            <v>0</v>
          </cell>
          <cell r="D392">
            <v>867608.25211583287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505649.51269499742</v>
          </cell>
        </row>
        <row r="393">
          <cell r="A393">
            <v>376</v>
          </cell>
          <cell r="B393">
            <v>179883</v>
          </cell>
          <cell r="C393">
            <v>0</v>
          </cell>
          <cell r="D393">
            <v>867608.25211583287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505649.51269499742</v>
          </cell>
        </row>
        <row r="394">
          <cell r="A394">
            <v>377</v>
          </cell>
          <cell r="B394">
            <v>180248</v>
          </cell>
          <cell r="C394">
            <v>0</v>
          </cell>
          <cell r="D394">
            <v>867608.25211583287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505649.51269499742</v>
          </cell>
        </row>
        <row r="395">
          <cell r="A395">
            <v>378</v>
          </cell>
          <cell r="B395">
            <v>180613</v>
          </cell>
          <cell r="C395">
            <v>0</v>
          </cell>
          <cell r="D395">
            <v>867608.25211583287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505649.51269499742</v>
          </cell>
        </row>
        <row r="396">
          <cell r="A396">
            <v>379</v>
          </cell>
          <cell r="B396">
            <v>180978</v>
          </cell>
          <cell r="C396">
            <v>0</v>
          </cell>
          <cell r="D396">
            <v>867608.25211583287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505649.51269499742</v>
          </cell>
        </row>
        <row r="397">
          <cell r="A397">
            <v>380</v>
          </cell>
          <cell r="B397">
            <v>181344</v>
          </cell>
          <cell r="C397">
            <v>0</v>
          </cell>
          <cell r="D397">
            <v>867608.25211583287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505649.51269499742</v>
          </cell>
        </row>
        <row r="398">
          <cell r="A398">
            <v>381</v>
          </cell>
          <cell r="B398">
            <v>181709</v>
          </cell>
          <cell r="C398">
            <v>0</v>
          </cell>
          <cell r="D398">
            <v>867608.25211583287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505649.51269499742</v>
          </cell>
        </row>
        <row r="399">
          <cell r="A399">
            <v>382</v>
          </cell>
          <cell r="B399">
            <v>182074</v>
          </cell>
          <cell r="C399">
            <v>0</v>
          </cell>
          <cell r="D399">
            <v>867608.25211583287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505649.51269499742</v>
          </cell>
        </row>
        <row r="400">
          <cell r="A400">
            <v>383</v>
          </cell>
          <cell r="B400">
            <v>182439</v>
          </cell>
          <cell r="C400">
            <v>0</v>
          </cell>
          <cell r="D400">
            <v>867608.25211583287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505649.51269499742</v>
          </cell>
        </row>
        <row r="401">
          <cell r="A401">
            <v>384</v>
          </cell>
          <cell r="B401">
            <v>182805</v>
          </cell>
          <cell r="C401">
            <v>0</v>
          </cell>
          <cell r="D401">
            <v>867608.25211583287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505649.51269499742</v>
          </cell>
        </row>
        <row r="402">
          <cell r="A402">
            <v>385</v>
          </cell>
          <cell r="B402">
            <v>183170</v>
          </cell>
          <cell r="C402">
            <v>0</v>
          </cell>
          <cell r="D402">
            <v>867608.25211583287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505649.51269499742</v>
          </cell>
        </row>
        <row r="403">
          <cell r="A403">
            <v>386</v>
          </cell>
          <cell r="B403">
            <v>183535</v>
          </cell>
          <cell r="C403">
            <v>0</v>
          </cell>
          <cell r="D403">
            <v>867608.25211583287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505649.51269499742</v>
          </cell>
        </row>
        <row r="404">
          <cell r="A404">
            <v>387</v>
          </cell>
          <cell r="B404">
            <v>183900</v>
          </cell>
          <cell r="C404">
            <v>0</v>
          </cell>
          <cell r="D404">
            <v>867608.25211583287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505649.51269499742</v>
          </cell>
        </row>
        <row r="405">
          <cell r="A405">
            <v>388</v>
          </cell>
          <cell r="B405">
            <v>184266</v>
          </cell>
          <cell r="C405">
            <v>0</v>
          </cell>
          <cell r="D405">
            <v>867608.25211583287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505649.51269499742</v>
          </cell>
        </row>
        <row r="406">
          <cell r="A406">
            <v>389</v>
          </cell>
          <cell r="B406">
            <v>184631</v>
          </cell>
          <cell r="C406">
            <v>0</v>
          </cell>
          <cell r="D406">
            <v>867608.25211583287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505649.51269499742</v>
          </cell>
        </row>
        <row r="407">
          <cell r="A407">
            <v>390</v>
          </cell>
          <cell r="B407">
            <v>184996</v>
          </cell>
          <cell r="C407">
            <v>0</v>
          </cell>
          <cell r="D407">
            <v>867608.25211583287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505649.51269499742</v>
          </cell>
        </row>
        <row r="408">
          <cell r="A408">
            <v>391</v>
          </cell>
          <cell r="B408">
            <v>185361</v>
          </cell>
          <cell r="C408">
            <v>0</v>
          </cell>
          <cell r="D408">
            <v>867608.25211583287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505649.51269499742</v>
          </cell>
        </row>
        <row r="409">
          <cell r="A409">
            <v>392</v>
          </cell>
          <cell r="B409">
            <v>185727</v>
          </cell>
          <cell r="C409">
            <v>0</v>
          </cell>
          <cell r="D409">
            <v>867608.25211583287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505649.51269499742</v>
          </cell>
        </row>
        <row r="410">
          <cell r="A410">
            <v>393</v>
          </cell>
          <cell r="B410">
            <v>186092</v>
          </cell>
          <cell r="C410">
            <v>0</v>
          </cell>
          <cell r="D410">
            <v>867608.25211583287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505649.51269499742</v>
          </cell>
        </row>
        <row r="411">
          <cell r="A411">
            <v>394</v>
          </cell>
          <cell r="B411">
            <v>186457</v>
          </cell>
          <cell r="C411">
            <v>0</v>
          </cell>
          <cell r="D411">
            <v>867608.25211583287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505649.51269499742</v>
          </cell>
        </row>
        <row r="412">
          <cell r="A412">
            <v>395</v>
          </cell>
          <cell r="B412">
            <v>186822</v>
          </cell>
          <cell r="C412">
            <v>0</v>
          </cell>
          <cell r="D412">
            <v>867608.25211583287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505649.51269499742</v>
          </cell>
        </row>
        <row r="413">
          <cell r="A413">
            <v>396</v>
          </cell>
          <cell r="B413">
            <v>187188</v>
          </cell>
          <cell r="C413">
            <v>0</v>
          </cell>
          <cell r="D413">
            <v>867608.25211583287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505649.51269499742</v>
          </cell>
        </row>
        <row r="414">
          <cell r="A414">
            <v>397</v>
          </cell>
          <cell r="B414">
            <v>187553</v>
          </cell>
          <cell r="C414">
            <v>0</v>
          </cell>
          <cell r="D414">
            <v>867608.25211583287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505649.51269499742</v>
          </cell>
        </row>
        <row r="415">
          <cell r="A415">
            <v>398</v>
          </cell>
          <cell r="B415">
            <v>187918</v>
          </cell>
          <cell r="C415">
            <v>0</v>
          </cell>
          <cell r="D415">
            <v>867608.25211583287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505649.51269499742</v>
          </cell>
        </row>
        <row r="416">
          <cell r="A416">
            <v>399</v>
          </cell>
          <cell r="B416">
            <v>188283</v>
          </cell>
          <cell r="C416">
            <v>0</v>
          </cell>
          <cell r="D416">
            <v>867608.25211583287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505649.51269499742</v>
          </cell>
        </row>
        <row r="417">
          <cell r="A417">
            <v>400</v>
          </cell>
          <cell r="B417">
            <v>188649</v>
          </cell>
          <cell r="C417">
            <v>0</v>
          </cell>
          <cell r="D417">
            <v>867608.25211583287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505649.51269499742</v>
          </cell>
        </row>
        <row r="418">
          <cell r="A418">
            <v>401</v>
          </cell>
          <cell r="B418">
            <v>189014</v>
          </cell>
          <cell r="C418">
            <v>0</v>
          </cell>
          <cell r="D418">
            <v>867608.25211583287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505649.51269499742</v>
          </cell>
        </row>
        <row r="419">
          <cell r="A419">
            <v>402</v>
          </cell>
          <cell r="B419">
            <v>189379</v>
          </cell>
          <cell r="C419">
            <v>0</v>
          </cell>
          <cell r="D419">
            <v>867608.25211583287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505649.51269499742</v>
          </cell>
        </row>
        <row r="420">
          <cell r="A420">
            <v>403</v>
          </cell>
          <cell r="B420">
            <v>189744</v>
          </cell>
          <cell r="C420">
            <v>0</v>
          </cell>
          <cell r="D420">
            <v>867608.25211583287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505649.51269499742</v>
          </cell>
        </row>
        <row r="421">
          <cell r="A421">
            <v>404</v>
          </cell>
          <cell r="B421">
            <v>190110</v>
          </cell>
          <cell r="C421">
            <v>0</v>
          </cell>
          <cell r="D421">
            <v>867608.25211583287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505649.51269499742</v>
          </cell>
        </row>
        <row r="422">
          <cell r="A422">
            <v>405</v>
          </cell>
          <cell r="B422">
            <v>190475</v>
          </cell>
          <cell r="C422">
            <v>0</v>
          </cell>
          <cell r="D422">
            <v>867608.25211583287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505649.51269499742</v>
          </cell>
        </row>
        <row r="423">
          <cell r="A423">
            <v>406</v>
          </cell>
          <cell r="B423">
            <v>190840</v>
          </cell>
          <cell r="C423">
            <v>0</v>
          </cell>
          <cell r="D423">
            <v>867608.25211583287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505649.51269499742</v>
          </cell>
        </row>
        <row r="424">
          <cell r="A424">
            <v>407</v>
          </cell>
          <cell r="B424">
            <v>191205</v>
          </cell>
          <cell r="C424">
            <v>0</v>
          </cell>
          <cell r="D424">
            <v>867608.25211583287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505649.51269499742</v>
          </cell>
        </row>
        <row r="425">
          <cell r="A425">
            <v>408</v>
          </cell>
          <cell r="B425">
            <v>191571</v>
          </cell>
          <cell r="C425">
            <v>0</v>
          </cell>
          <cell r="D425">
            <v>867608.25211583287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505649.51269499742</v>
          </cell>
        </row>
        <row r="426">
          <cell r="A426">
            <v>409</v>
          </cell>
          <cell r="B426">
            <v>191936</v>
          </cell>
          <cell r="C426">
            <v>0</v>
          </cell>
          <cell r="D426">
            <v>867608.25211583287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505649.51269499742</v>
          </cell>
        </row>
        <row r="427">
          <cell r="A427">
            <v>410</v>
          </cell>
          <cell r="B427">
            <v>192301</v>
          </cell>
          <cell r="C427">
            <v>0</v>
          </cell>
          <cell r="D427">
            <v>867608.25211583287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505649.51269499742</v>
          </cell>
        </row>
        <row r="428">
          <cell r="A428">
            <v>411</v>
          </cell>
          <cell r="B428">
            <v>192666</v>
          </cell>
          <cell r="C428">
            <v>0</v>
          </cell>
          <cell r="D428">
            <v>867608.25211583287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505649.51269499742</v>
          </cell>
        </row>
        <row r="429">
          <cell r="A429">
            <v>412</v>
          </cell>
          <cell r="B429">
            <v>193032</v>
          </cell>
          <cell r="C429">
            <v>0</v>
          </cell>
          <cell r="D429">
            <v>867608.25211583287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505649.51269499742</v>
          </cell>
        </row>
        <row r="430">
          <cell r="A430">
            <v>413</v>
          </cell>
          <cell r="B430">
            <v>193397</v>
          </cell>
          <cell r="C430">
            <v>0</v>
          </cell>
          <cell r="D430">
            <v>867608.25211583287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505649.51269499742</v>
          </cell>
        </row>
        <row r="431">
          <cell r="A431">
            <v>414</v>
          </cell>
          <cell r="B431">
            <v>193762</v>
          </cell>
          <cell r="C431">
            <v>0</v>
          </cell>
          <cell r="D431">
            <v>867608.25211583287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505649.51269499742</v>
          </cell>
        </row>
        <row r="432">
          <cell r="A432">
            <v>415</v>
          </cell>
          <cell r="B432">
            <v>194127</v>
          </cell>
          <cell r="C432">
            <v>0</v>
          </cell>
          <cell r="D432">
            <v>867608.25211583287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505649.51269499742</v>
          </cell>
        </row>
        <row r="433">
          <cell r="A433">
            <v>416</v>
          </cell>
          <cell r="B433">
            <v>194493</v>
          </cell>
          <cell r="C433">
            <v>0</v>
          </cell>
          <cell r="D433">
            <v>867608.25211583287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505649.51269499742</v>
          </cell>
        </row>
        <row r="434">
          <cell r="A434">
            <v>417</v>
          </cell>
          <cell r="B434">
            <v>194858</v>
          </cell>
          <cell r="C434">
            <v>0</v>
          </cell>
          <cell r="D434">
            <v>867608.25211583287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505649.51269499742</v>
          </cell>
        </row>
        <row r="435">
          <cell r="A435">
            <v>418</v>
          </cell>
          <cell r="B435">
            <v>195223</v>
          </cell>
          <cell r="C435">
            <v>0</v>
          </cell>
          <cell r="D435">
            <v>867608.25211583287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505649.51269499742</v>
          </cell>
        </row>
        <row r="436">
          <cell r="A436">
            <v>419</v>
          </cell>
          <cell r="B436">
            <v>195588</v>
          </cell>
          <cell r="C436">
            <v>0</v>
          </cell>
          <cell r="D436">
            <v>867608.25211583287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505649.51269499742</v>
          </cell>
        </row>
        <row r="437">
          <cell r="A437">
            <v>420</v>
          </cell>
          <cell r="B437">
            <v>195954</v>
          </cell>
          <cell r="C437">
            <v>0</v>
          </cell>
          <cell r="D437">
            <v>867608.25211583287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505649.51269499742</v>
          </cell>
        </row>
        <row r="438">
          <cell r="A438">
            <v>421</v>
          </cell>
          <cell r="B438">
            <v>196319</v>
          </cell>
          <cell r="C438">
            <v>0</v>
          </cell>
          <cell r="D438">
            <v>867608.25211583287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505649.51269499742</v>
          </cell>
        </row>
        <row r="439">
          <cell r="A439">
            <v>422</v>
          </cell>
          <cell r="B439">
            <v>196684</v>
          </cell>
          <cell r="C439">
            <v>0</v>
          </cell>
          <cell r="D439">
            <v>867608.25211583287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505649.51269499742</v>
          </cell>
        </row>
        <row r="440">
          <cell r="A440">
            <v>423</v>
          </cell>
          <cell r="B440">
            <v>197049</v>
          </cell>
          <cell r="C440">
            <v>0</v>
          </cell>
          <cell r="D440">
            <v>867608.25211583287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505649.51269499742</v>
          </cell>
        </row>
        <row r="441">
          <cell r="A441">
            <v>424</v>
          </cell>
          <cell r="B441">
            <v>197415</v>
          </cell>
          <cell r="C441">
            <v>0</v>
          </cell>
          <cell r="D441">
            <v>867608.25211583287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505649.51269499742</v>
          </cell>
        </row>
        <row r="442">
          <cell r="A442">
            <v>425</v>
          </cell>
          <cell r="B442">
            <v>197780</v>
          </cell>
          <cell r="C442">
            <v>0</v>
          </cell>
          <cell r="D442">
            <v>867608.25211583287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505649.51269499742</v>
          </cell>
        </row>
        <row r="443">
          <cell r="A443">
            <v>426</v>
          </cell>
          <cell r="B443">
            <v>198145</v>
          </cell>
          <cell r="C443">
            <v>0</v>
          </cell>
          <cell r="D443">
            <v>867608.25211583287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505649.51269499742</v>
          </cell>
        </row>
        <row r="444">
          <cell r="A444">
            <v>427</v>
          </cell>
          <cell r="B444">
            <v>198510</v>
          </cell>
          <cell r="C444">
            <v>0</v>
          </cell>
          <cell r="D444">
            <v>867608.25211583287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505649.51269499742</v>
          </cell>
        </row>
        <row r="445">
          <cell r="A445">
            <v>428</v>
          </cell>
          <cell r="B445">
            <v>198876</v>
          </cell>
          <cell r="C445">
            <v>0</v>
          </cell>
          <cell r="D445">
            <v>867608.25211583287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505649.51269499742</v>
          </cell>
        </row>
        <row r="446">
          <cell r="A446">
            <v>429</v>
          </cell>
          <cell r="B446">
            <v>199241</v>
          </cell>
          <cell r="C446">
            <v>0</v>
          </cell>
          <cell r="D446">
            <v>867608.25211583287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505649.51269499742</v>
          </cell>
        </row>
        <row r="447">
          <cell r="A447">
            <v>430</v>
          </cell>
          <cell r="B447">
            <v>199606</v>
          </cell>
          <cell r="C447">
            <v>0</v>
          </cell>
          <cell r="D447">
            <v>867608.25211583287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505649.51269499742</v>
          </cell>
        </row>
        <row r="448">
          <cell r="A448">
            <v>431</v>
          </cell>
          <cell r="B448">
            <v>199971</v>
          </cell>
          <cell r="C448">
            <v>0</v>
          </cell>
          <cell r="D448">
            <v>867608.25211583287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505649.51269499742</v>
          </cell>
        </row>
        <row r="449">
          <cell r="A449">
            <v>432</v>
          </cell>
          <cell r="B449">
            <v>200337</v>
          </cell>
          <cell r="C449">
            <v>0</v>
          </cell>
          <cell r="D449">
            <v>867608.25211583287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505649.51269499742</v>
          </cell>
        </row>
        <row r="450">
          <cell r="A450">
            <v>433</v>
          </cell>
          <cell r="B450">
            <v>200702</v>
          </cell>
          <cell r="C450">
            <v>0</v>
          </cell>
          <cell r="D450">
            <v>867608.25211583287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505649.51269499742</v>
          </cell>
        </row>
        <row r="451">
          <cell r="A451">
            <v>434</v>
          </cell>
          <cell r="B451">
            <v>201067</v>
          </cell>
          <cell r="C451">
            <v>0</v>
          </cell>
          <cell r="D451">
            <v>867608.25211583287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505649.51269499742</v>
          </cell>
        </row>
        <row r="452">
          <cell r="A452">
            <v>435</v>
          </cell>
          <cell r="B452">
            <v>201432</v>
          </cell>
          <cell r="C452">
            <v>0</v>
          </cell>
          <cell r="D452">
            <v>867608.25211583287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505649.51269499742</v>
          </cell>
        </row>
        <row r="453">
          <cell r="A453">
            <v>436</v>
          </cell>
          <cell r="B453">
            <v>201798</v>
          </cell>
          <cell r="C453">
            <v>0</v>
          </cell>
          <cell r="D453">
            <v>867608.25211583287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505649.51269499742</v>
          </cell>
        </row>
        <row r="454">
          <cell r="A454">
            <v>437</v>
          </cell>
          <cell r="B454">
            <v>202163</v>
          </cell>
          <cell r="C454">
            <v>0</v>
          </cell>
          <cell r="D454">
            <v>867608.25211583287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505649.51269499742</v>
          </cell>
        </row>
        <row r="455">
          <cell r="A455">
            <v>438</v>
          </cell>
          <cell r="B455">
            <v>202528</v>
          </cell>
          <cell r="C455">
            <v>0</v>
          </cell>
          <cell r="D455">
            <v>867608.25211583287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505649.51269499742</v>
          </cell>
        </row>
        <row r="456">
          <cell r="A456">
            <v>439</v>
          </cell>
          <cell r="B456">
            <v>202893</v>
          </cell>
          <cell r="C456">
            <v>0</v>
          </cell>
          <cell r="D456">
            <v>867608.25211583287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505649.51269499742</v>
          </cell>
        </row>
        <row r="457">
          <cell r="A457">
            <v>440</v>
          </cell>
          <cell r="B457">
            <v>203259</v>
          </cell>
          <cell r="C457">
            <v>0</v>
          </cell>
          <cell r="D457">
            <v>867608.25211583287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505649.51269499742</v>
          </cell>
        </row>
        <row r="458">
          <cell r="A458">
            <v>441</v>
          </cell>
          <cell r="B458">
            <v>203624</v>
          </cell>
          <cell r="C458">
            <v>0</v>
          </cell>
          <cell r="D458">
            <v>867608.25211583287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505649.51269499742</v>
          </cell>
        </row>
        <row r="459">
          <cell r="A459">
            <v>442</v>
          </cell>
          <cell r="B459">
            <v>203989</v>
          </cell>
          <cell r="C459">
            <v>0</v>
          </cell>
          <cell r="D459">
            <v>867608.25211583287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505649.51269499742</v>
          </cell>
        </row>
        <row r="460">
          <cell r="A460">
            <v>443</v>
          </cell>
          <cell r="B460">
            <v>204354</v>
          </cell>
          <cell r="C460">
            <v>0</v>
          </cell>
          <cell r="D460">
            <v>867608.25211583287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505649.51269499742</v>
          </cell>
        </row>
        <row r="461">
          <cell r="A461">
            <v>444</v>
          </cell>
          <cell r="B461">
            <v>204720</v>
          </cell>
          <cell r="C461">
            <v>0</v>
          </cell>
          <cell r="D461">
            <v>867608.25211583287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505649.51269499742</v>
          </cell>
        </row>
        <row r="462">
          <cell r="A462">
            <v>445</v>
          </cell>
          <cell r="B462">
            <v>205085</v>
          </cell>
          <cell r="C462">
            <v>0</v>
          </cell>
          <cell r="D462">
            <v>867608.25211583287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505649.51269499742</v>
          </cell>
        </row>
        <row r="463">
          <cell r="A463">
            <v>446</v>
          </cell>
          <cell r="B463">
            <v>205450</v>
          </cell>
          <cell r="C463">
            <v>0</v>
          </cell>
          <cell r="D463">
            <v>867608.25211583287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505649.51269499742</v>
          </cell>
        </row>
        <row r="464">
          <cell r="A464">
            <v>447</v>
          </cell>
          <cell r="B464">
            <v>205815</v>
          </cell>
          <cell r="C464">
            <v>0</v>
          </cell>
          <cell r="D464">
            <v>867608.25211583287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505649.51269499742</v>
          </cell>
        </row>
        <row r="465">
          <cell r="A465">
            <v>448</v>
          </cell>
          <cell r="B465">
            <v>206181</v>
          </cell>
          <cell r="C465">
            <v>0</v>
          </cell>
          <cell r="D465">
            <v>867608.25211583287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505649.51269499742</v>
          </cell>
        </row>
        <row r="466">
          <cell r="A466">
            <v>449</v>
          </cell>
          <cell r="B466">
            <v>206546</v>
          </cell>
          <cell r="C466">
            <v>0</v>
          </cell>
          <cell r="D466">
            <v>867608.25211583287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505649.51269499742</v>
          </cell>
        </row>
        <row r="467">
          <cell r="A467">
            <v>450</v>
          </cell>
          <cell r="B467">
            <v>206911</v>
          </cell>
          <cell r="C467">
            <v>0</v>
          </cell>
          <cell r="D467">
            <v>867608.25211583287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505649.51269499742</v>
          </cell>
        </row>
        <row r="468">
          <cell r="A468">
            <v>451</v>
          </cell>
          <cell r="B468">
            <v>207276</v>
          </cell>
          <cell r="C468">
            <v>0</v>
          </cell>
          <cell r="D468">
            <v>867608.25211583287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505649.51269499742</v>
          </cell>
        </row>
        <row r="469">
          <cell r="A469">
            <v>452</v>
          </cell>
          <cell r="B469">
            <v>207642</v>
          </cell>
          <cell r="C469">
            <v>0</v>
          </cell>
          <cell r="D469">
            <v>867608.25211583287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505649.51269499742</v>
          </cell>
        </row>
        <row r="470">
          <cell r="A470">
            <v>453</v>
          </cell>
          <cell r="B470">
            <v>208007</v>
          </cell>
          <cell r="C470">
            <v>0</v>
          </cell>
          <cell r="D470">
            <v>867608.25211583287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505649.51269499742</v>
          </cell>
        </row>
        <row r="471">
          <cell r="A471">
            <v>454</v>
          </cell>
          <cell r="B471">
            <v>208372</v>
          </cell>
          <cell r="C471">
            <v>0</v>
          </cell>
          <cell r="D471">
            <v>867608.25211583287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505649.51269499742</v>
          </cell>
        </row>
        <row r="472">
          <cell r="A472">
            <v>455</v>
          </cell>
          <cell r="B472">
            <v>208737</v>
          </cell>
          <cell r="C472">
            <v>0</v>
          </cell>
          <cell r="D472">
            <v>867608.25211583287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505649.51269499742</v>
          </cell>
        </row>
        <row r="473">
          <cell r="A473">
            <v>456</v>
          </cell>
          <cell r="B473">
            <v>209103</v>
          </cell>
          <cell r="C473">
            <v>0</v>
          </cell>
          <cell r="D473">
            <v>867608.25211583287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505649.51269499742</v>
          </cell>
        </row>
        <row r="474">
          <cell r="A474">
            <v>457</v>
          </cell>
          <cell r="B474">
            <v>209468</v>
          </cell>
          <cell r="C474">
            <v>0</v>
          </cell>
          <cell r="D474">
            <v>867608.25211583287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505649.51269499742</v>
          </cell>
        </row>
        <row r="475">
          <cell r="A475">
            <v>458</v>
          </cell>
          <cell r="B475">
            <v>209833</v>
          </cell>
          <cell r="C475">
            <v>0</v>
          </cell>
          <cell r="D475">
            <v>867608.25211583287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505649.51269499742</v>
          </cell>
        </row>
        <row r="476">
          <cell r="A476">
            <v>459</v>
          </cell>
          <cell r="B476">
            <v>210198</v>
          </cell>
          <cell r="C476">
            <v>0</v>
          </cell>
          <cell r="D476">
            <v>867608.25211583287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505649.51269499742</v>
          </cell>
        </row>
        <row r="477">
          <cell r="A477">
            <v>460</v>
          </cell>
          <cell r="B477">
            <v>210564</v>
          </cell>
          <cell r="C477">
            <v>0</v>
          </cell>
          <cell r="D477">
            <v>867608.25211583287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505649.51269499742</v>
          </cell>
        </row>
        <row r="478">
          <cell r="A478">
            <v>461</v>
          </cell>
          <cell r="B478">
            <v>210929</v>
          </cell>
          <cell r="C478">
            <v>0</v>
          </cell>
          <cell r="D478">
            <v>867608.25211583287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505649.51269499742</v>
          </cell>
        </row>
        <row r="479">
          <cell r="A479">
            <v>462</v>
          </cell>
          <cell r="B479">
            <v>211294</v>
          </cell>
          <cell r="C479">
            <v>0</v>
          </cell>
          <cell r="D479">
            <v>867608.25211583287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505649.51269499742</v>
          </cell>
        </row>
        <row r="480">
          <cell r="A480">
            <v>463</v>
          </cell>
          <cell r="B480">
            <v>211659</v>
          </cell>
          <cell r="C480">
            <v>0</v>
          </cell>
          <cell r="D480">
            <v>867608.25211583287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505649.51269499742</v>
          </cell>
        </row>
        <row r="481">
          <cell r="A481">
            <v>464</v>
          </cell>
          <cell r="B481">
            <v>212025</v>
          </cell>
          <cell r="C481">
            <v>0</v>
          </cell>
          <cell r="D481">
            <v>867608.25211583287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505649.51269499742</v>
          </cell>
        </row>
        <row r="482">
          <cell r="A482">
            <v>465</v>
          </cell>
          <cell r="B482">
            <v>212390</v>
          </cell>
          <cell r="C482">
            <v>0</v>
          </cell>
          <cell r="D482">
            <v>867608.25211583287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505649.51269499742</v>
          </cell>
        </row>
        <row r="483">
          <cell r="A483">
            <v>466</v>
          </cell>
          <cell r="B483">
            <v>212755</v>
          </cell>
          <cell r="C483">
            <v>0</v>
          </cell>
          <cell r="D483">
            <v>867608.25211583287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505649.51269499742</v>
          </cell>
        </row>
        <row r="484">
          <cell r="A484">
            <v>467</v>
          </cell>
          <cell r="B484">
            <v>213120</v>
          </cell>
          <cell r="C484">
            <v>0</v>
          </cell>
          <cell r="D484">
            <v>867608.25211583287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505649.51269499742</v>
          </cell>
        </row>
        <row r="485">
          <cell r="A485">
            <v>468</v>
          </cell>
          <cell r="B485">
            <v>213486</v>
          </cell>
          <cell r="C485">
            <v>0</v>
          </cell>
          <cell r="D485">
            <v>867608.25211583287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505649.51269499742</v>
          </cell>
        </row>
        <row r="486">
          <cell r="A486">
            <v>469</v>
          </cell>
          <cell r="B486">
            <v>213851</v>
          </cell>
          <cell r="C486">
            <v>0</v>
          </cell>
          <cell r="D486">
            <v>867608.25211583287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505649.51269499742</v>
          </cell>
        </row>
        <row r="487">
          <cell r="A487">
            <v>470</v>
          </cell>
          <cell r="B487">
            <v>214216</v>
          </cell>
          <cell r="C487">
            <v>0</v>
          </cell>
          <cell r="D487">
            <v>867608.25211583287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505649.51269499742</v>
          </cell>
        </row>
        <row r="488">
          <cell r="A488">
            <v>471</v>
          </cell>
          <cell r="B488">
            <v>214581</v>
          </cell>
          <cell r="C488">
            <v>0</v>
          </cell>
          <cell r="D488">
            <v>867608.25211583287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505649.51269499742</v>
          </cell>
        </row>
        <row r="489">
          <cell r="A489">
            <v>472</v>
          </cell>
          <cell r="B489">
            <v>214947</v>
          </cell>
          <cell r="C489">
            <v>0</v>
          </cell>
          <cell r="D489">
            <v>867608.25211583287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505649.51269499742</v>
          </cell>
        </row>
        <row r="490">
          <cell r="A490">
            <v>473</v>
          </cell>
          <cell r="B490">
            <v>215312</v>
          </cell>
          <cell r="C490">
            <v>0</v>
          </cell>
          <cell r="D490">
            <v>867608.25211583287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505649.51269499742</v>
          </cell>
        </row>
        <row r="491">
          <cell r="A491">
            <v>474</v>
          </cell>
          <cell r="B491">
            <v>215677</v>
          </cell>
          <cell r="C491">
            <v>0</v>
          </cell>
          <cell r="D491">
            <v>867608.25211583287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505649.51269499742</v>
          </cell>
        </row>
        <row r="492">
          <cell r="A492">
            <v>475</v>
          </cell>
          <cell r="B492">
            <v>216042</v>
          </cell>
          <cell r="C492">
            <v>0</v>
          </cell>
          <cell r="D492">
            <v>867608.25211583287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505649.51269499742</v>
          </cell>
        </row>
        <row r="493">
          <cell r="A493">
            <v>476</v>
          </cell>
          <cell r="B493">
            <v>216408</v>
          </cell>
          <cell r="C493">
            <v>0</v>
          </cell>
          <cell r="D493">
            <v>867608.25211583287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505649.51269499742</v>
          </cell>
        </row>
        <row r="494">
          <cell r="A494">
            <v>477</v>
          </cell>
          <cell r="B494">
            <v>216773</v>
          </cell>
          <cell r="C494">
            <v>0</v>
          </cell>
          <cell r="D494">
            <v>867608.25211583287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505649.51269499742</v>
          </cell>
        </row>
        <row r="495">
          <cell r="A495">
            <v>478</v>
          </cell>
          <cell r="B495">
            <v>217138</v>
          </cell>
          <cell r="C495">
            <v>0</v>
          </cell>
          <cell r="D495">
            <v>867608.25211583287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505649.51269499742</v>
          </cell>
        </row>
        <row r="496">
          <cell r="A496">
            <v>479</v>
          </cell>
          <cell r="B496">
            <v>217503</v>
          </cell>
          <cell r="C496">
            <v>0</v>
          </cell>
          <cell r="D496">
            <v>867608.25211583287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505649.51269499742</v>
          </cell>
        </row>
        <row r="497">
          <cell r="A497">
            <v>480</v>
          </cell>
          <cell r="B497">
            <v>217869</v>
          </cell>
          <cell r="C497">
            <v>0</v>
          </cell>
          <cell r="D497">
            <v>867608.25211583287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505649.51269499742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face"/>
      <sheetName val="Cover"/>
      <sheetName val="CoCu"/>
      <sheetName val="Master"/>
      <sheetName val="Parameter"/>
      <sheetName val="Sectors"/>
      <sheetName val="SoC"/>
      <sheetName val="Licensing Details"/>
      <sheetName val="UG"/>
      <sheetName val="Lex"/>
      <sheetName val="Disc"/>
      <sheetName val="ALP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page"/>
      <sheetName val="Xpress NT feature matrix"/>
      <sheetName val="Resolution Chart"/>
      <sheetName val="End User Information"/>
      <sheetName val="Avid Xpress Features"/>
      <sheetName val="Xpress NT Order Sheet"/>
      <sheetName val="Xpress NT Add-Ons"/>
      <sheetName val="Xpress Volume Purchase"/>
      <sheetName val="Storage Price List"/>
      <sheetName val="Support Pricing"/>
      <sheetName val="Meridien Upgrades Cover"/>
      <sheetName val="Xpress upgrade sheet"/>
      <sheetName val="MCX-NT to Xpress-NT Promo"/>
      <sheetName val="MSP to Xpress NT Program"/>
      <sheetName val="Competitive Trade-ups"/>
      <sheetName val="Return Order Checklist"/>
      <sheetName val="Parts &amp; Prices"/>
      <sheetName val="Master Parts and Descrip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">
          <cell r="A1">
            <v>1</v>
          </cell>
          <cell r="B1" t="str">
            <v>Column offset to select currency; 1=IRE List$; 9=AD   :</v>
          </cell>
          <cell r="C1">
            <v>3</v>
          </cell>
          <cell r="D1" t="str">
            <v>$LIST</v>
          </cell>
        </row>
        <row r="2">
          <cell r="C2">
            <v>1</v>
          </cell>
          <cell r="D2">
            <v>2</v>
          </cell>
          <cell r="E2">
            <v>3</v>
          </cell>
          <cell r="F2">
            <v>4</v>
          </cell>
          <cell r="G2">
            <v>5</v>
          </cell>
          <cell r="H2">
            <v>6</v>
          </cell>
          <cell r="I2">
            <v>7</v>
          </cell>
          <cell r="J2">
            <v>8</v>
          </cell>
        </row>
        <row r="3">
          <cell r="A3" t="str">
            <v>Part No</v>
          </cell>
          <cell r="B3" t="str">
            <v>Description</v>
          </cell>
          <cell r="C3" t="str">
            <v>$LIST</v>
          </cell>
          <cell r="D3" t="str">
            <v>$DIST</v>
          </cell>
          <cell r="E3" t="str">
            <v>EURO</v>
          </cell>
          <cell r="F3" t="str">
            <v>FFR</v>
          </cell>
          <cell r="G3" t="str">
            <v>DM</v>
          </cell>
          <cell r="H3" t="str">
            <v>UKP</v>
          </cell>
          <cell r="I3" t="str">
            <v>ITL</v>
          </cell>
          <cell r="J3" t="str">
            <v>PTA</v>
          </cell>
        </row>
        <row r="4">
          <cell r="A4" t="str">
            <v>0010-00506-01</v>
          </cell>
          <cell r="B4" t="str">
            <v>Kit, dual powered speakers, EU 220V  Roland</v>
          </cell>
          <cell r="C4">
            <v>375</v>
          </cell>
          <cell r="D4">
            <v>280</v>
          </cell>
          <cell r="E4">
            <v>340</v>
          </cell>
          <cell r="F4">
            <v>2250</v>
          </cell>
          <cell r="G4">
            <v>670</v>
          </cell>
          <cell r="H4">
            <v>240</v>
          </cell>
          <cell r="I4">
            <v>665000</v>
          </cell>
          <cell r="J4">
            <v>57200</v>
          </cell>
        </row>
        <row r="5">
          <cell r="A5" t="str">
            <v>0010-00705-01</v>
          </cell>
          <cell r="B5" t="str">
            <v>AvidNews WorkStation Kit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</row>
        <row r="6">
          <cell r="A6" t="str">
            <v>0010-00717-21</v>
          </cell>
          <cell r="B6" t="str">
            <v>DLT 35R MediaDock Shuttle</v>
          </cell>
          <cell r="C6">
            <v>9815</v>
          </cell>
          <cell r="D6">
            <v>7400</v>
          </cell>
          <cell r="E6">
            <v>9000</v>
          </cell>
          <cell r="F6">
            <v>59000</v>
          </cell>
          <cell r="G6">
            <v>17600</v>
          </cell>
          <cell r="H6">
            <v>6200</v>
          </cell>
          <cell r="I6">
            <v>17400000</v>
          </cell>
          <cell r="J6">
            <v>1500000</v>
          </cell>
        </row>
        <row r="7">
          <cell r="A7" t="str">
            <v>0010-00721-01</v>
          </cell>
          <cell r="B7" t="str">
            <v>Media Asset Manager Kit</v>
          </cell>
          <cell r="C7">
            <v>1400</v>
          </cell>
          <cell r="D7">
            <v>1050</v>
          </cell>
          <cell r="E7">
            <v>1280</v>
          </cell>
          <cell r="F7">
            <v>8410</v>
          </cell>
          <cell r="G7">
            <v>2510</v>
          </cell>
          <cell r="H7">
            <v>890</v>
          </cell>
          <cell r="I7">
            <v>2484000</v>
          </cell>
          <cell r="J7">
            <v>213400</v>
          </cell>
        </row>
        <row r="8">
          <cell r="A8" t="str">
            <v>0010-00722-01</v>
          </cell>
          <cell r="B8" t="str">
            <v>Media Asset Server Kit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</row>
        <row r="9">
          <cell r="A9" t="str">
            <v>0010-00770-30</v>
          </cell>
          <cell r="B9" t="str">
            <v>MediaShare F/C for MC 6.5.3 or Xpress 1.5.3</v>
          </cell>
          <cell r="C9">
            <v>2076</v>
          </cell>
          <cell r="D9">
            <v>1600</v>
          </cell>
          <cell r="E9">
            <v>1900</v>
          </cell>
          <cell r="F9">
            <v>12500</v>
          </cell>
          <cell r="G9">
            <v>3700</v>
          </cell>
          <cell r="H9">
            <v>1300</v>
          </cell>
          <cell r="I9">
            <v>3700000</v>
          </cell>
          <cell r="J9">
            <v>320000</v>
          </cell>
        </row>
        <row r="10">
          <cell r="A10" t="str">
            <v>0010-00790-21</v>
          </cell>
          <cell r="B10" t="str">
            <v>SFW, Film Package</v>
          </cell>
          <cell r="C10">
            <v>12500</v>
          </cell>
          <cell r="D10">
            <v>9400</v>
          </cell>
          <cell r="E10">
            <v>11500</v>
          </cell>
          <cell r="F10">
            <v>75100</v>
          </cell>
          <cell r="G10">
            <v>22400</v>
          </cell>
          <cell r="H10">
            <v>7900</v>
          </cell>
          <cell r="I10">
            <v>22200000</v>
          </cell>
          <cell r="J10">
            <v>1910000</v>
          </cell>
        </row>
        <row r="11">
          <cell r="A11" t="str">
            <v>0010-00857-02</v>
          </cell>
          <cell r="B11" t="str">
            <v>Transjammer AVX for Mac &amp; Windows NT (single CD)</v>
          </cell>
          <cell r="C11">
            <v>199</v>
          </cell>
          <cell r="D11">
            <v>150</v>
          </cell>
          <cell r="E11">
            <v>180</v>
          </cell>
          <cell r="F11">
            <v>1200</v>
          </cell>
          <cell r="G11">
            <v>360</v>
          </cell>
          <cell r="H11">
            <v>130</v>
          </cell>
          <cell r="I11">
            <v>353000</v>
          </cell>
          <cell r="J11">
            <v>30300</v>
          </cell>
        </row>
        <row r="12">
          <cell r="A12" t="str">
            <v>0010-00858-22</v>
          </cell>
          <cell r="B12" t="str">
            <v>Transjammer AVX for Mac &amp; Windows NT (5-CD pack)</v>
          </cell>
          <cell r="C12">
            <v>595</v>
          </cell>
          <cell r="D12">
            <v>450</v>
          </cell>
          <cell r="E12">
            <v>550</v>
          </cell>
          <cell r="F12">
            <v>3580</v>
          </cell>
          <cell r="G12">
            <v>1070</v>
          </cell>
          <cell r="H12">
            <v>380</v>
          </cell>
          <cell r="I12">
            <v>1056000</v>
          </cell>
          <cell r="J12">
            <v>90700</v>
          </cell>
        </row>
        <row r="13">
          <cell r="A13" t="str">
            <v>0010-00859-22</v>
          </cell>
          <cell r="B13" t="str">
            <v>Transjammer AVX for Mac &amp; Windows NT (10-CD pack)</v>
          </cell>
          <cell r="C13">
            <v>995</v>
          </cell>
          <cell r="D13">
            <v>750</v>
          </cell>
          <cell r="E13">
            <v>910</v>
          </cell>
          <cell r="F13">
            <v>5980</v>
          </cell>
          <cell r="G13">
            <v>1780</v>
          </cell>
          <cell r="H13">
            <v>630</v>
          </cell>
          <cell r="I13">
            <v>1765000</v>
          </cell>
          <cell r="J13">
            <v>151700</v>
          </cell>
        </row>
        <row r="14">
          <cell r="A14" t="str">
            <v>0010-00877-21</v>
          </cell>
          <cell r="B14" t="str">
            <v>MediaShare F/C Package for MC 7.0 or Xpress 2.0</v>
          </cell>
          <cell r="C14">
            <v>2076</v>
          </cell>
          <cell r="D14">
            <v>1600</v>
          </cell>
          <cell r="E14">
            <v>1900</v>
          </cell>
          <cell r="F14">
            <v>12800</v>
          </cell>
          <cell r="G14">
            <v>3800</v>
          </cell>
          <cell r="H14">
            <v>1300</v>
          </cell>
          <cell r="I14">
            <v>3700000</v>
          </cell>
          <cell r="J14">
            <v>320000</v>
          </cell>
        </row>
        <row r="15">
          <cell r="A15" t="str">
            <v>0010-01012-01</v>
          </cell>
          <cell r="B15" t="str">
            <v>Xpress for NT Hard Copy Doc Box</v>
          </cell>
          <cell r="C15">
            <v>300</v>
          </cell>
          <cell r="D15">
            <v>200</v>
          </cell>
          <cell r="E15">
            <v>300</v>
          </cell>
          <cell r="F15">
            <v>1800</v>
          </cell>
          <cell r="G15">
            <v>500</v>
          </cell>
          <cell r="H15">
            <v>200</v>
          </cell>
          <cell r="I15">
            <v>500000</v>
          </cell>
          <cell r="J15">
            <v>50000</v>
          </cell>
        </row>
        <row r="16">
          <cell r="A16" t="str">
            <v>0010-03027-01</v>
          </cell>
          <cell r="B16" t="str">
            <v>108GB Rack mount MEDIArray</v>
          </cell>
          <cell r="C16">
            <v>16300</v>
          </cell>
          <cell r="D16">
            <v>12200</v>
          </cell>
          <cell r="E16">
            <v>14900</v>
          </cell>
          <cell r="F16">
            <v>98000</v>
          </cell>
          <cell r="G16">
            <v>29200</v>
          </cell>
          <cell r="H16">
            <v>10300</v>
          </cell>
          <cell r="I16">
            <v>28900000</v>
          </cell>
          <cell r="J16">
            <v>2480000</v>
          </cell>
        </row>
        <row r="17">
          <cell r="A17" t="str">
            <v>0010-03029-01</v>
          </cell>
          <cell r="B17" t="str">
            <v>180GB Rack mount MEDIArray</v>
          </cell>
          <cell r="C17">
            <v>23654</v>
          </cell>
          <cell r="D17">
            <v>17700</v>
          </cell>
          <cell r="E17">
            <v>21700</v>
          </cell>
          <cell r="F17">
            <v>142200</v>
          </cell>
          <cell r="G17">
            <v>42400</v>
          </cell>
          <cell r="H17">
            <v>15000</v>
          </cell>
          <cell r="I17">
            <v>42000000</v>
          </cell>
          <cell r="J17">
            <v>3610000</v>
          </cell>
        </row>
        <row r="18">
          <cell r="A18" t="str">
            <v>0010-03030-01</v>
          </cell>
          <cell r="B18" t="str">
            <v>180GB Desk side MEDIArray</v>
          </cell>
          <cell r="C18">
            <v>24731</v>
          </cell>
          <cell r="D18">
            <v>18500</v>
          </cell>
          <cell r="E18">
            <v>22700</v>
          </cell>
          <cell r="F18">
            <v>148600</v>
          </cell>
          <cell r="G18">
            <v>44300</v>
          </cell>
          <cell r="H18">
            <v>15700</v>
          </cell>
          <cell r="I18">
            <v>43900000</v>
          </cell>
          <cell r="J18">
            <v>3770000</v>
          </cell>
        </row>
        <row r="19">
          <cell r="A19" t="str">
            <v>0020-00448-21</v>
          </cell>
          <cell r="B19" t="str">
            <v>Avid DLT 35 Tape Drive</v>
          </cell>
          <cell r="C19">
            <v>9815</v>
          </cell>
          <cell r="D19">
            <v>7400</v>
          </cell>
          <cell r="E19">
            <v>9000</v>
          </cell>
          <cell r="F19">
            <v>59000</v>
          </cell>
          <cell r="G19">
            <v>17600</v>
          </cell>
          <cell r="H19">
            <v>6200</v>
          </cell>
          <cell r="I19">
            <v>17400000</v>
          </cell>
          <cell r="J19">
            <v>1500000</v>
          </cell>
        </row>
        <row r="20">
          <cell r="A20" t="str">
            <v>0020-00460-21</v>
          </cell>
          <cell r="B20" t="str">
            <v>45GB MSDE Rack Mount</v>
          </cell>
          <cell r="C20">
            <v>14895</v>
          </cell>
          <cell r="D20">
            <v>11200</v>
          </cell>
          <cell r="E20">
            <v>13600</v>
          </cell>
          <cell r="F20">
            <v>89500</v>
          </cell>
          <cell r="G20">
            <v>26700</v>
          </cell>
          <cell r="H20">
            <v>9400</v>
          </cell>
          <cell r="I20">
            <v>26400000</v>
          </cell>
          <cell r="J20">
            <v>2270000</v>
          </cell>
        </row>
        <row r="21">
          <cell r="A21" t="str">
            <v>0020-00464-21</v>
          </cell>
          <cell r="B21" t="str">
            <v>45GB MSDE Deskside</v>
          </cell>
          <cell r="C21">
            <v>15795</v>
          </cell>
          <cell r="D21">
            <v>11800</v>
          </cell>
          <cell r="E21">
            <v>14500</v>
          </cell>
          <cell r="F21">
            <v>94900</v>
          </cell>
          <cell r="G21">
            <v>28300</v>
          </cell>
          <cell r="H21">
            <v>10000</v>
          </cell>
          <cell r="I21">
            <v>28000000</v>
          </cell>
          <cell r="J21">
            <v>2410000</v>
          </cell>
        </row>
        <row r="22">
          <cell r="A22" t="str">
            <v>0020-00466-21</v>
          </cell>
          <cell r="B22" t="str">
            <v>45GB Add-on Storage</v>
          </cell>
          <cell r="C22">
            <v>9895</v>
          </cell>
          <cell r="D22">
            <v>7400</v>
          </cell>
          <cell r="E22">
            <v>9100</v>
          </cell>
          <cell r="F22">
            <v>59500</v>
          </cell>
          <cell r="G22">
            <v>17700</v>
          </cell>
          <cell r="H22">
            <v>6300</v>
          </cell>
          <cell r="I22">
            <v>17600000</v>
          </cell>
          <cell r="J22">
            <v>1510000</v>
          </cell>
        </row>
        <row r="23">
          <cell r="A23" t="str">
            <v>0020-00467-21</v>
          </cell>
          <cell r="B23" t="str">
            <v xml:space="preserve">iS18 Pro MediaDrive </v>
          </cell>
          <cell r="C23">
            <v>3010</v>
          </cell>
          <cell r="D23">
            <v>2300</v>
          </cell>
          <cell r="E23">
            <v>2800</v>
          </cell>
          <cell r="F23">
            <v>18100</v>
          </cell>
          <cell r="G23">
            <v>5400</v>
          </cell>
          <cell r="H23">
            <v>1900</v>
          </cell>
          <cell r="I23">
            <v>5300000</v>
          </cell>
          <cell r="J23">
            <v>460000</v>
          </cell>
        </row>
        <row r="24">
          <cell r="A24" t="str">
            <v>0020-00469-21</v>
          </cell>
          <cell r="B24" t="str">
            <v>iS9 Pro MediaDrive ***</v>
          </cell>
          <cell r="C24">
            <v>1780</v>
          </cell>
          <cell r="D24">
            <v>1340</v>
          </cell>
          <cell r="E24">
            <v>1630</v>
          </cell>
          <cell r="F24">
            <v>10700</v>
          </cell>
          <cell r="G24">
            <v>3190</v>
          </cell>
          <cell r="H24">
            <v>1130</v>
          </cell>
          <cell r="I24">
            <v>3158000</v>
          </cell>
          <cell r="J24">
            <v>271400</v>
          </cell>
        </row>
        <row r="25">
          <cell r="A25" t="str">
            <v>0020-00470-21</v>
          </cell>
          <cell r="B25" t="str">
            <v>iS9 Pro MediaDock Shuttle **</v>
          </cell>
          <cell r="C25">
            <v>1780</v>
          </cell>
          <cell r="D25">
            <v>1300</v>
          </cell>
          <cell r="E25">
            <v>1600</v>
          </cell>
          <cell r="F25">
            <v>10700</v>
          </cell>
          <cell r="G25">
            <v>3200</v>
          </cell>
          <cell r="H25">
            <v>1100</v>
          </cell>
          <cell r="I25">
            <v>3200000</v>
          </cell>
          <cell r="J25">
            <v>270000</v>
          </cell>
        </row>
        <row r="26">
          <cell r="A26" t="str">
            <v>0020-00471-21</v>
          </cell>
          <cell r="B26" t="str">
            <v>iS18 Pro MediaDock Shuttle**</v>
          </cell>
          <cell r="C26">
            <v>3010</v>
          </cell>
          <cell r="D26">
            <v>2300</v>
          </cell>
          <cell r="E26">
            <v>2800</v>
          </cell>
          <cell r="F26">
            <v>18100</v>
          </cell>
          <cell r="G26">
            <v>5400</v>
          </cell>
          <cell r="H26">
            <v>1900</v>
          </cell>
          <cell r="I26">
            <v>5300000</v>
          </cell>
          <cell r="J26">
            <v>460000</v>
          </cell>
        </row>
        <row r="27">
          <cell r="A27" t="str">
            <v>0020-00486-21</v>
          </cell>
          <cell r="B27" t="str">
            <v>iS9 Plus MediaDock Shuttle**</v>
          </cell>
          <cell r="C27">
            <v>2085</v>
          </cell>
          <cell r="D27">
            <v>1600</v>
          </cell>
          <cell r="E27">
            <v>1900</v>
          </cell>
          <cell r="F27">
            <v>12500</v>
          </cell>
          <cell r="G27">
            <v>3700</v>
          </cell>
          <cell r="H27">
            <v>1300</v>
          </cell>
          <cell r="I27">
            <v>3700000</v>
          </cell>
          <cell r="J27">
            <v>320000</v>
          </cell>
        </row>
        <row r="28">
          <cell r="A28" t="str">
            <v>0020-00487-21</v>
          </cell>
          <cell r="B28" t="str">
            <v>iS18 Plus MediaDock Shuttle**</v>
          </cell>
          <cell r="C28">
            <v>2454</v>
          </cell>
          <cell r="D28">
            <v>1800</v>
          </cell>
          <cell r="E28">
            <v>2200</v>
          </cell>
          <cell r="F28">
            <v>14700</v>
          </cell>
          <cell r="G28">
            <v>4400</v>
          </cell>
          <cell r="H28">
            <v>1600</v>
          </cell>
          <cell r="I28">
            <v>4400000</v>
          </cell>
          <cell r="J28">
            <v>370000</v>
          </cell>
        </row>
        <row r="29">
          <cell r="A29" t="str">
            <v>0020-00490-01</v>
          </cell>
          <cell r="B29" t="str">
            <v>36GB Rack mount MEDIArray</v>
          </cell>
          <cell r="C29">
            <v>8638</v>
          </cell>
          <cell r="D29">
            <v>6500</v>
          </cell>
          <cell r="E29">
            <v>7900</v>
          </cell>
          <cell r="F29">
            <v>51900</v>
          </cell>
          <cell r="G29">
            <v>15500</v>
          </cell>
          <cell r="H29">
            <v>5500</v>
          </cell>
          <cell r="I29">
            <v>15300000</v>
          </cell>
          <cell r="J29">
            <v>1320000</v>
          </cell>
        </row>
        <row r="30">
          <cell r="A30" t="str">
            <v>0020-00491-01</v>
          </cell>
          <cell r="B30" t="str">
            <v>36GB Desk side MEDIArray</v>
          </cell>
          <cell r="C30">
            <v>9715</v>
          </cell>
          <cell r="D30">
            <v>7300</v>
          </cell>
          <cell r="E30">
            <v>8900</v>
          </cell>
          <cell r="F30">
            <v>58400</v>
          </cell>
          <cell r="G30">
            <v>17400</v>
          </cell>
          <cell r="H30">
            <v>6200</v>
          </cell>
          <cell r="I30">
            <v>17200000</v>
          </cell>
          <cell r="J30">
            <v>1480000</v>
          </cell>
        </row>
        <row r="31">
          <cell r="A31" t="str">
            <v>0020-03000-01</v>
          </cell>
          <cell r="B31" t="str">
            <v>72GB FC Add-on Kit (4X18GB Drives)</v>
          </cell>
          <cell r="C31">
            <v>7969</v>
          </cell>
          <cell r="D31">
            <v>6000</v>
          </cell>
          <cell r="E31">
            <v>7300</v>
          </cell>
          <cell r="F31">
            <v>47900</v>
          </cell>
          <cell r="G31">
            <v>14300</v>
          </cell>
          <cell r="H31">
            <v>5100</v>
          </cell>
          <cell r="I31">
            <v>14100000</v>
          </cell>
          <cell r="J31">
            <v>1210000</v>
          </cell>
        </row>
        <row r="32">
          <cell r="A32" t="str">
            <v>0030-00382-21</v>
          </cell>
          <cell r="B32" t="str">
            <v>Serial Digital I/O option</v>
          </cell>
          <cell r="C32">
            <v>300</v>
          </cell>
          <cell r="D32">
            <v>230</v>
          </cell>
          <cell r="E32">
            <v>270</v>
          </cell>
          <cell r="F32">
            <v>1800</v>
          </cell>
          <cell r="G32">
            <v>540</v>
          </cell>
          <cell r="H32">
            <v>190</v>
          </cell>
          <cell r="I32">
            <v>532000</v>
          </cell>
          <cell r="J32">
            <v>45700</v>
          </cell>
        </row>
        <row r="33">
          <cell r="A33" t="str">
            <v>0040-00055-21</v>
          </cell>
          <cell r="B33" t="str">
            <v>21" Hi-res monitor - TFW1106</v>
          </cell>
          <cell r="C33">
            <v>2200</v>
          </cell>
          <cell r="D33">
            <v>1700</v>
          </cell>
          <cell r="E33">
            <v>2000</v>
          </cell>
          <cell r="F33">
            <v>13200</v>
          </cell>
          <cell r="G33">
            <v>3900</v>
          </cell>
          <cell r="H33">
            <v>1400</v>
          </cell>
          <cell r="I33">
            <v>3900000</v>
          </cell>
          <cell r="J33">
            <v>340000</v>
          </cell>
        </row>
        <row r="34">
          <cell r="A34" t="str">
            <v>0050-00187-22</v>
          </cell>
          <cell r="B34" t="str">
            <v>MediaDock Base Rack System</v>
          </cell>
          <cell r="C34">
            <v>2795</v>
          </cell>
          <cell r="D34">
            <v>2100</v>
          </cell>
          <cell r="E34">
            <v>2600</v>
          </cell>
          <cell r="F34">
            <v>16800</v>
          </cell>
          <cell r="G34">
            <v>5000</v>
          </cell>
          <cell r="H34">
            <v>1800</v>
          </cell>
          <cell r="I34">
            <v>5000000</v>
          </cell>
          <cell r="J34">
            <v>430000</v>
          </cell>
        </row>
        <row r="35">
          <cell r="A35" t="str">
            <v>0050-00189-22</v>
          </cell>
          <cell r="B35" t="str">
            <v>MediaDock Base Tower System</v>
          </cell>
          <cell r="C35">
            <v>2595</v>
          </cell>
          <cell r="D35">
            <v>1900</v>
          </cell>
          <cell r="E35">
            <v>2400</v>
          </cell>
          <cell r="F35">
            <v>15600</v>
          </cell>
          <cell r="G35">
            <v>4700</v>
          </cell>
          <cell r="H35">
            <v>1600</v>
          </cell>
          <cell r="I35">
            <v>4600000</v>
          </cell>
          <cell r="J35">
            <v>400000</v>
          </cell>
        </row>
        <row r="36">
          <cell r="A36" t="str">
            <v>0050-00359-01</v>
          </cell>
          <cell r="B36" t="str">
            <v>18GB 10K MSFC Drive</v>
          </cell>
          <cell r="C36">
            <v>1992</v>
          </cell>
          <cell r="D36">
            <v>1500</v>
          </cell>
          <cell r="E36">
            <v>1800</v>
          </cell>
          <cell r="F36">
            <v>12000</v>
          </cell>
          <cell r="G36">
            <v>3600</v>
          </cell>
          <cell r="H36">
            <v>1300</v>
          </cell>
          <cell r="I36">
            <v>3500000</v>
          </cell>
          <cell r="J36">
            <v>300000</v>
          </cell>
        </row>
        <row r="37">
          <cell r="A37" t="str">
            <v>0060-03001-21</v>
          </cell>
          <cell r="B37" t="str">
            <v>Avid Demo dongle - Channel Manager sign -off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0060-03002-21</v>
          </cell>
          <cell r="B38" t="str">
            <v>replacement dongle</v>
          </cell>
          <cell r="C38">
            <v>40000</v>
          </cell>
          <cell r="D38">
            <v>30000</v>
          </cell>
          <cell r="E38">
            <v>36600</v>
          </cell>
          <cell r="F38">
            <v>240400</v>
          </cell>
          <cell r="G38">
            <v>71700</v>
          </cell>
          <cell r="H38">
            <v>25400</v>
          </cell>
          <cell r="I38">
            <v>71000000</v>
          </cell>
          <cell r="J38">
            <v>6100000</v>
          </cell>
        </row>
        <row r="39">
          <cell r="A39" t="str">
            <v>0070-00172-21</v>
          </cell>
          <cell r="B39" t="str">
            <v>SE4/EPCI to MediaDock/Wide Drive Cable</v>
          </cell>
          <cell r="C39">
            <v>55</v>
          </cell>
          <cell r="D39">
            <v>40</v>
          </cell>
          <cell r="E39">
            <v>50</v>
          </cell>
          <cell r="F39">
            <v>330</v>
          </cell>
          <cell r="G39">
            <v>100</v>
          </cell>
          <cell r="H39">
            <v>30</v>
          </cell>
          <cell r="I39">
            <v>98000</v>
          </cell>
          <cell r="J39">
            <v>8400</v>
          </cell>
        </row>
        <row r="40">
          <cell r="A40" t="str">
            <v>0070-00438-23</v>
          </cell>
          <cell r="B40" t="str">
            <v>50 foot extension cable for breakout box</v>
          </cell>
          <cell r="C40">
            <v>350</v>
          </cell>
          <cell r="D40">
            <v>300</v>
          </cell>
          <cell r="E40">
            <v>300</v>
          </cell>
          <cell r="F40">
            <v>2100</v>
          </cell>
          <cell r="G40">
            <v>600</v>
          </cell>
          <cell r="H40">
            <v>200</v>
          </cell>
          <cell r="I40">
            <v>600000</v>
          </cell>
          <cell r="J40">
            <v>50000</v>
          </cell>
        </row>
        <row r="41">
          <cell r="A41" t="str">
            <v>0070-00440-21</v>
          </cell>
          <cell r="B41" t="str">
            <v>iS Wide Terminator</v>
          </cell>
          <cell r="C41">
            <v>45</v>
          </cell>
          <cell r="D41">
            <v>36</v>
          </cell>
          <cell r="E41">
            <v>40</v>
          </cell>
          <cell r="F41">
            <v>270</v>
          </cell>
          <cell r="G41">
            <v>80</v>
          </cell>
          <cell r="H41">
            <v>30</v>
          </cell>
          <cell r="I41">
            <v>80000</v>
          </cell>
          <cell r="J41">
            <v>6900</v>
          </cell>
        </row>
        <row r="42">
          <cell r="A42" t="str">
            <v>0070-00492-22</v>
          </cell>
          <cell r="B42" t="str">
            <v>3 Meter Cable</v>
          </cell>
          <cell r="C42">
            <v>83</v>
          </cell>
          <cell r="D42">
            <v>60</v>
          </cell>
          <cell r="E42">
            <v>80</v>
          </cell>
          <cell r="F42">
            <v>500</v>
          </cell>
          <cell r="G42">
            <v>150</v>
          </cell>
          <cell r="H42">
            <v>50</v>
          </cell>
          <cell r="I42">
            <v>147000</v>
          </cell>
          <cell r="J42">
            <v>12700</v>
          </cell>
        </row>
        <row r="43">
          <cell r="A43" t="str">
            <v>0070-00493-21</v>
          </cell>
          <cell r="B43" t="str">
            <v>10 Meter Cable</v>
          </cell>
          <cell r="C43">
            <v>175</v>
          </cell>
          <cell r="D43">
            <v>130</v>
          </cell>
          <cell r="E43">
            <v>160</v>
          </cell>
          <cell r="F43">
            <v>1050</v>
          </cell>
          <cell r="G43">
            <v>310</v>
          </cell>
          <cell r="H43">
            <v>110</v>
          </cell>
          <cell r="I43">
            <v>310000</v>
          </cell>
          <cell r="J43">
            <v>26700</v>
          </cell>
        </row>
        <row r="44">
          <cell r="A44" t="str">
            <v>0070-00493-24</v>
          </cell>
          <cell r="B44" t="str">
            <v>30 Meter Cable</v>
          </cell>
          <cell r="C44">
            <v>395</v>
          </cell>
          <cell r="D44">
            <v>300</v>
          </cell>
          <cell r="E44">
            <v>400</v>
          </cell>
          <cell r="F44">
            <v>2400</v>
          </cell>
          <cell r="G44">
            <v>700</v>
          </cell>
          <cell r="H44">
            <v>300</v>
          </cell>
          <cell r="I44">
            <v>700000</v>
          </cell>
          <cell r="J44">
            <v>60000</v>
          </cell>
        </row>
        <row r="45">
          <cell r="A45" t="str">
            <v>0070-00507-21</v>
          </cell>
          <cell r="B45" t="str">
            <v>RS 232-422 converter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</row>
        <row r="46">
          <cell r="A46" t="str">
            <v>0070-03007-01</v>
          </cell>
          <cell r="B46" t="str">
            <v>METHODE  MDB-9-X  FIBRE CHANNEL MIA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</row>
        <row r="47">
          <cell r="A47" t="str">
            <v>0080-00140-21</v>
          </cell>
          <cell r="B47" t="str">
            <v>9 Port Copper FC-AL Hub</v>
          </cell>
          <cell r="C47">
            <v>3777</v>
          </cell>
          <cell r="D47">
            <v>2830</v>
          </cell>
          <cell r="E47">
            <v>3460</v>
          </cell>
          <cell r="F47">
            <v>22700</v>
          </cell>
          <cell r="G47">
            <v>6770</v>
          </cell>
          <cell r="H47">
            <v>2390</v>
          </cell>
          <cell r="I47">
            <v>6701000</v>
          </cell>
          <cell r="J47">
            <v>575800</v>
          </cell>
        </row>
        <row r="48">
          <cell r="A48" t="str">
            <v>0080-00141-21</v>
          </cell>
          <cell r="B48" t="str">
            <v>MSDE Link Control Card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</row>
        <row r="49">
          <cell r="A49" t="str">
            <v>0100-00161-21</v>
          </cell>
          <cell r="B49" t="str">
            <v>SFW, Film Matchback</v>
          </cell>
          <cell r="C49">
            <v>5500</v>
          </cell>
          <cell r="D49">
            <v>4100</v>
          </cell>
          <cell r="E49">
            <v>5000</v>
          </cell>
          <cell r="F49">
            <v>33100</v>
          </cell>
          <cell r="G49">
            <v>9900</v>
          </cell>
          <cell r="H49">
            <v>3500</v>
          </cell>
          <cell r="I49">
            <v>9800000</v>
          </cell>
          <cell r="J49">
            <v>840000</v>
          </cell>
        </row>
        <row r="50">
          <cell r="A50" t="str">
            <v>0100-00402-21</v>
          </cell>
          <cell r="B50" t="str">
            <v>SFW, Realtime Multicamera Play</v>
          </cell>
          <cell r="C50">
            <v>10000</v>
          </cell>
          <cell r="D50">
            <v>7500</v>
          </cell>
          <cell r="E50">
            <v>9200</v>
          </cell>
          <cell r="F50">
            <v>60100</v>
          </cell>
          <cell r="G50">
            <v>17900</v>
          </cell>
          <cell r="H50">
            <v>6300</v>
          </cell>
          <cell r="I50">
            <v>17700000</v>
          </cell>
          <cell r="J50">
            <v>1520000</v>
          </cell>
        </row>
        <row r="51">
          <cell r="A51" t="str">
            <v>0100-00600-21</v>
          </cell>
          <cell r="B51" t="str">
            <v>Kit, CD ROM Finishing Package</v>
          </cell>
          <cell r="C51">
            <v>4500</v>
          </cell>
          <cell r="D51">
            <v>3400</v>
          </cell>
          <cell r="E51">
            <v>4100</v>
          </cell>
          <cell r="F51">
            <v>27000</v>
          </cell>
          <cell r="G51">
            <v>8100</v>
          </cell>
          <cell r="H51">
            <v>2900</v>
          </cell>
          <cell r="I51">
            <v>8000000</v>
          </cell>
          <cell r="J51">
            <v>690000</v>
          </cell>
        </row>
        <row r="52">
          <cell r="A52" t="str">
            <v>0100-00720-21</v>
          </cell>
          <cell r="B52" t="str">
            <v>SFW, Script Based Editing</v>
          </cell>
          <cell r="C52">
            <v>5000</v>
          </cell>
          <cell r="D52">
            <v>3800</v>
          </cell>
          <cell r="E52">
            <v>4600</v>
          </cell>
          <cell r="F52">
            <v>30100</v>
          </cell>
          <cell r="G52">
            <v>9000</v>
          </cell>
          <cell r="H52">
            <v>3200</v>
          </cell>
          <cell r="I52">
            <v>8900000</v>
          </cell>
          <cell r="J52">
            <v>760000</v>
          </cell>
        </row>
        <row r="53">
          <cell r="A53" t="str">
            <v>0100-00942-21</v>
          </cell>
          <cell r="B53" t="str">
            <v>SFW, Intraframe Editing</v>
          </cell>
          <cell r="C53">
            <v>4500</v>
          </cell>
          <cell r="D53">
            <v>3400</v>
          </cell>
          <cell r="E53">
            <v>4100</v>
          </cell>
          <cell r="F53">
            <v>27000</v>
          </cell>
          <cell r="G53">
            <v>8100</v>
          </cell>
          <cell r="H53">
            <v>2900</v>
          </cell>
          <cell r="I53">
            <v>8000000</v>
          </cell>
          <cell r="J53">
            <v>690000</v>
          </cell>
        </row>
        <row r="54">
          <cell r="A54" t="str">
            <v>0100-00950-21</v>
          </cell>
          <cell r="B54" t="str">
            <v>SFW, Offline Package</v>
          </cell>
          <cell r="C54">
            <v>12500</v>
          </cell>
          <cell r="D54">
            <v>9400</v>
          </cell>
          <cell r="E54">
            <v>11500</v>
          </cell>
          <cell r="F54">
            <v>75100</v>
          </cell>
          <cell r="G54">
            <v>22400</v>
          </cell>
          <cell r="H54">
            <v>7900</v>
          </cell>
          <cell r="I54">
            <v>22200000</v>
          </cell>
          <cell r="J54">
            <v>1910000</v>
          </cell>
        </row>
        <row r="55">
          <cell r="A55" t="str">
            <v>0100-03004-01</v>
          </cell>
          <cell r="B55" t="str">
            <v>Xpress for NT 16 x 9 option</v>
          </cell>
          <cell r="C55">
            <v>4999</v>
          </cell>
          <cell r="D55">
            <v>3700</v>
          </cell>
          <cell r="E55">
            <v>4600</v>
          </cell>
          <cell r="F55">
            <v>30000</v>
          </cell>
          <cell r="G55">
            <v>9000</v>
          </cell>
          <cell r="H55">
            <v>3200</v>
          </cell>
          <cell r="I55">
            <v>8900000</v>
          </cell>
          <cell r="J55">
            <v>760000</v>
          </cell>
        </row>
        <row r="56">
          <cell r="A56" t="str">
            <v>0100-03054-01</v>
          </cell>
          <cell r="B56" t="str">
            <v>Xpress for NT Matchback option</v>
          </cell>
          <cell r="C56">
            <v>3000</v>
          </cell>
          <cell r="D56">
            <v>2300</v>
          </cell>
          <cell r="E56">
            <v>2700</v>
          </cell>
          <cell r="F56">
            <v>18000</v>
          </cell>
          <cell r="G56">
            <v>5400</v>
          </cell>
          <cell r="H56">
            <v>1900</v>
          </cell>
          <cell r="I56">
            <v>5300000</v>
          </cell>
          <cell r="J56">
            <v>460000</v>
          </cell>
        </row>
        <row r="57">
          <cell r="A57" t="str">
            <v>0500-01824-01</v>
          </cell>
          <cell r="B57" t="str">
            <v>AvidNews SGI O2 Server Kit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</row>
        <row r="58">
          <cell r="A58" t="str">
            <v>0500-01825-01</v>
          </cell>
          <cell r="B58" t="str">
            <v>AvidNews SGI O200 Server Kit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</row>
        <row r="59">
          <cell r="A59" t="str">
            <v>0500-01826-01</v>
          </cell>
          <cell r="B59" t="str">
            <v>AvidNews Intel Fileserver Kit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</row>
        <row r="60">
          <cell r="A60" t="str">
            <v>0500-01855-21</v>
          </cell>
          <cell r="B60" t="str">
            <v>NewsCutter DV base system</v>
          </cell>
          <cell r="C60">
            <v>49900</v>
          </cell>
          <cell r="D60">
            <v>37400</v>
          </cell>
          <cell r="E60">
            <v>45700</v>
          </cell>
          <cell r="F60">
            <v>299900</v>
          </cell>
          <cell r="G60">
            <v>89400</v>
          </cell>
          <cell r="H60">
            <v>31600</v>
          </cell>
          <cell r="I60">
            <v>88500000</v>
          </cell>
          <cell r="J60">
            <v>7610000</v>
          </cell>
        </row>
        <row r="61">
          <cell r="A61" t="str">
            <v>0500-01859-21</v>
          </cell>
          <cell r="B61" t="str">
            <v xml:space="preserve">Symphony system, inc 21" monitors, </v>
          </cell>
          <cell r="C61">
            <v>125000</v>
          </cell>
          <cell r="D61">
            <v>93800</v>
          </cell>
          <cell r="E61">
            <v>114500</v>
          </cell>
          <cell r="F61">
            <v>751300</v>
          </cell>
          <cell r="G61">
            <v>224000</v>
          </cell>
          <cell r="H61">
            <v>79200</v>
          </cell>
          <cell r="I61">
            <v>221800000</v>
          </cell>
          <cell r="J61">
            <v>19060000</v>
          </cell>
        </row>
        <row r="62">
          <cell r="A62" t="str">
            <v>0500-01859-22</v>
          </cell>
          <cell r="B62" t="str">
            <v xml:space="preserve">Symphony system, inc 21" monitors DEMO </v>
          </cell>
          <cell r="C62">
            <v>105000</v>
          </cell>
          <cell r="D62">
            <v>78800</v>
          </cell>
          <cell r="E62">
            <v>96200</v>
          </cell>
          <cell r="F62">
            <v>631100</v>
          </cell>
          <cell r="G62">
            <v>188200</v>
          </cell>
          <cell r="H62">
            <v>66500</v>
          </cell>
          <cell r="I62">
            <v>186300000</v>
          </cell>
          <cell r="J62">
            <v>16010000</v>
          </cell>
        </row>
        <row r="63">
          <cell r="A63" t="str">
            <v>0500-01860-21</v>
          </cell>
          <cell r="B63" t="str">
            <v>Xpress for NT Deluxe System</v>
          </cell>
          <cell r="C63">
            <v>24499</v>
          </cell>
          <cell r="D63">
            <v>18400</v>
          </cell>
          <cell r="E63">
            <v>22400</v>
          </cell>
          <cell r="F63">
            <v>147200</v>
          </cell>
          <cell r="G63">
            <v>43900</v>
          </cell>
          <cell r="H63">
            <v>15500</v>
          </cell>
          <cell r="I63">
            <v>43500000</v>
          </cell>
          <cell r="J63">
            <v>3730000</v>
          </cell>
        </row>
        <row r="64">
          <cell r="A64" t="str">
            <v>0500-01861-21</v>
          </cell>
          <cell r="B64" t="str">
            <v>Xpress for NT Elite System</v>
          </cell>
          <cell r="C64">
            <v>34499</v>
          </cell>
          <cell r="D64">
            <v>25900</v>
          </cell>
          <cell r="E64">
            <v>31600</v>
          </cell>
          <cell r="F64">
            <v>207300</v>
          </cell>
          <cell r="G64">
            <v>61800</v>
          </cell>
          <cell r="H64">
            <v>21900</v>
          </cell>
          <cell r="I64">
            <v>61200000</v>
          </cell>
          <cell r="J64">
            <v>5260000</v>
          </cell>
        </row>
        <row r="65">
          <cell r="A65" t="str">
            <v>0500-03001-21</v>
          </cell>
          <cell r="B65" t="str">
            <v>MC1000/ Betacam/ Aladdin 3D</v>
          </cell>
          <cell r="C65">
            <v>79845</v>
          </cell>
          <cell r="D65">
            <v>59900</v>
          </cell>
          <cell r="E65">
            <v>73200</v>
          </cell>
          <cell r="F65">
            <v>479900</v>
          </cell>
          <cell r="G65">
            <v>143100</v>
          </cell>
          <cell r="H65">
            <v>50600</v>
          </cell>
          <cell r="I65">
            <v>141700000</v>
          </cell>
          <cell r="J65">
            <v>12170000</v>
          </cell>
        </row>
        <row r="66">
          <cell r="A66" t="str">
            <v>0500-03002-21</v>
          </cell>
          <cell r="B66" t="str">
            <v>MC1000/ SDI/ Aladdin 3D</v>
          </cell>
          <cell r="C66">
            <v>79845</v>
          </cell>
          <cell r="D66">
            <v>59900</v>
          </cell>
          <cell r="E66">
            <v>73200</v>
          </cell>
          <cell r="F66">
            <v>479900</v>
          </cell>
          <cell r="G66">
            <v>143100</v>
          </cell>
          <cell r="H66">
            <v>50600</v>
          </cell>
          <cell r="I66">
            <v>141700000</v>
          </cell>
          <cell r="J66">
            <v>12170000</v>
          </cell>
        </row>
        <row r="67">
          <cell r="A67" t="str">
            <v>0500-03003-21</v>
          </cell>
          <cell r="B67" t="str">
            <v>MC1000/ SDI/ Genie 3D</v>
          </cell>
          <cell r="C67">
            <v>76845</v>
          </cell>
          <cell r="D67">
            <v>57600</v>
          </cell>
          <cell r="E67">
            <v>70400</v>
          </cell>
          <cell r="F67">
            <v>461900</v>
          </cell>
          <cell r="G67">
            <v>137700</v>
          </cell>
          <cell r="H67">
            <v>48700</v>
          </cell>
          <cell r="I67">
            <v>136300000</v>
          </cell>
          <cell r="J67">
            <v>11720000</v>
          </cell>
        </row>
        <row r="68">
          <cell r="A68" t="str">
            <v>0500-03004-21</v>
          </cell>
          <cell r="B68" t="str">
            <v>MC1000/ Betacam/ Genie 3D</v>
          </cell>
          <cell r="C68">
            <v>76845</v>
          </cell>
          <cell r="D68">
            <v>57600</v>
          </cell>
          <cell r="E68">
            <v>70400</v>
          </cell>
          <cell r="F68">
            <v>461900</v>
          </cell>
          <cell r="G68">
            <v>137700</v>
          </cell>
          <cell r="H68">
            <v>48700</v>
          </cell>
          <cell r="I68">
            <v>136300000</v>
          </cell>
          <cell r="J68">
            <v>11720000</v>
          </cell>
        </row>
        <row r="69">
          <cell r="A69" t="str">
            <v>0500-03005-21</v>
          </cell>
          <cell r="B69" t="str">
            <v>MC1000/ Betacam/ 2D</v>
          </cell>
          <cell r="C69">
            <v>61845</v>
          </cell>
          <cell r="D69">
            <v>46400</v>
          </cell>
          <cell r="E69">
            <v>56700</v>
          </cell>
          <cell r="F69">
            <v>371700</v>
          </cell>
          <cell r="G69">
            <v>110800</v>
          </cell>
          <cell r="H69">
            <v>39200</v>
          </cell>
          <cell r="I69">
            <v>109700000</v>
          </cell>
          <cell r="J69">
            <v>9430000</v>
          </cell>
        </row>
        <row r="70">
          <cell r="A70" t="str">
            <v>0500-03006-21</v>
          </cell>
          <cell r="B70" t="str">
            <v>MC1000/ SDI/ 2D</v>
          </cell>
          <cell r="C70">
            <v>61845</v>
          </cell>
          <cell r="D70">
            <v>46400</v>
          </cell>
          <cell r="E70">
            <v>56700</v>
          </cell>
          <cell r="F70">
            <v>371700</v>
          </cell>
          <cell r="G70">
            <v>110800</v>
          </cell>
          <cell r="H70">
            <v>39200</v>
          </cell>
          <cell r="I70">
            <v>109700000</v>
          </cell>
          <cell r="J70">
            <v>9430000</v>
          </cell>
        </row>
        <row r="71">
          <cell r="A71" t="str">
            <v>0500-03007-21</v>
          </cell>
          <cell r="B71" t="str">
            <v>MC9000/ Betacam/ Aladdin 3D</v>
          </cell>
          <cell r="C71">
            <v>112625</v>
          </cell>
          <cell r="D71">
            <v>84500</v>
          </cell>
          <cell r="E71">
            <v>103200</v>
          </cell>
          <cell r="F71">
            <v>676900</v>
          </cell>
          <cell r="G71">
            <v>201800</v>
          </cell>
          <cell r="H71">
            <v>71400</v>
          </cell>
          <cell r="I71">
            <v>199800000</v>
          </cell>
          <cell r="J71">
            <v>17170000</v>
          </cell>
        </row>
        <row r="72">
          <cell r="A72" t="str">
            <v>0500-03008-21</v>
          </cell>
          <cell r="B72" t="str">
            <v>MC9000/ SDI/ Aladdin 3D</v>
          </cell>
          <cell r="C72">
            <v>112625</v>
          </cell>
          <cell r="D72">
            <v>84500</v>
          </cell>
          <cell r="E72">
            <v>103200</v>
          </cell>
          <cell r="F72">
            <v>676900</v>
          </cell>
          <cell r="G72">
            <v>201800</v>
          </cell>
          <cell r="H72">
            <v>71400</v>
          </cell>
          <cell r="I72">
            <v>199800000</v>
          </cell>
          <cell r="J72">
            <v>17170000</v>
          </cell>
        </row>
        <row r="73">
          <cell r="A73" t="str">
            <v>0500-03009-21</v>
          </cell>
          <cell r="B73" t="str">
            <v>MC9000/ SDI/ Genie 3D</v>
          </cell>
          <cell r="C73">
            <v>109625</v>
          </cell>
          <cell r="D73">
            <v>82200</v>
          </cell>
          <cell r="E73">
            <v>100400</v>
          </cell>
          <cell r="F73">
            <v>658900</v>
          </cell>
          <cell r="G73">
            <v>196500</v>
          </cell>
          <cell r="H73">
            <v>69500</v>
          </cell>
          <cell r="I73">
            <v>194500000</v>
          </cell>
          <cell r="J73">
            <v>16710000</v>
          </cell>
        </row>
        <row r="74">
          <cell r="A74" t="str">
            <v>0500-03010-21</v>
          </cell>
          <cell r="B74" t="str">
            <v>MC9000/ Betacam/ Genie 3D</v>
          </cell>
          <cell r="C74">
            <v>109625</v>
          </cell>
          <cell r="D74">
            <v>82200</v>
          </cell>
          <cell r="E74">
            <v>100400</v>
          </cell>
          <cell r="F74">
            <v>658900</v>
          </cell>
          <cell r="G74">
            <v>196500</v>
          </cell>
          <cell r="H74">
            <v>69500</v>
          </cell>
          <cell r="I74">
            <v>194500000</v>
          </cell>
          <cell r="J74">
            <v>16710000</v>
          </cell>
        </row>
        <row r="75">
          <cell r="A75" t="str">
            <v>0500-03011-01</v>
          </cell>
          <cell r="B75" t="str">
            <v>NC Mac to NC DV Upgrade Kit (credit options available)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</row>
        <row r="76">
          <cell r="A76" t="str">
            <v>0505-00022-01</v>
          </cell>
          <cell r="B76" t="str">
            <v>Avidnet Transfer Tool for NT</v>
          </cell>
          <cell r="C76">
            <v>595</v>
          </cell>
          <cell r="D76">
            <v>400</v>
          </cell>
          <cell r="E76">
            <v>500</v>
          </cell>
          <cell r="F76">
            <v>3700</v>
          </cell>
          <cell r="G76">
            <v>1100</v>
          </cell>
          <cell r="H76">
            <v>400</v>
          </cell>
          <cell r="I76">
            <v>1100000</v>
          </cell>
          <cell r="J76">
            <v>90000</v>
          </cell>
        </row>
        <row r="77">
          <cell r="A77" t="str">
            <v>0505-00119-01</v>
          </cell>
          <cell r="B77" t="str">
            <v>SoftImage DS software, PAL Authorised Educator</v>
          </cell>
          <cell r="C77">
            <v>6500</v>
          </cell>
          <cell r="D77">
            <v>4500</v>
          </cell>
          <cell r="E77">
            <v>5960</v>
          </cell>
          <cell r="F77">
            <v>39070</v>
          </cell>
          <cell r="G77">
            <v>11650</v>
          </cell>
          <cell r="H77">
            <v>4120</v>
          </cell>
          <cell r="I77">
            <v>11532000</v>
          </cell>
          <cell r="J77">
            <v>990900</v>
          </cell>
        </row>
        <row r="78">
          <cell r="A78" t="str">
            <v xml:space="preserve">0505-00122-01 </v>
          </cell>
          <cell r="B78" t="str">
            <v>SoftImage DS software, PAL end user</v>
          </cell>
          <cell r="C78">
            <v>80000</v>
          </cell>
          <cell r="D78">
            <v>56000</v>
          </cell>
          <cell r="E78">
            <v>73300</v>
          </cell>
          <cell r="F78">
            <v>480800</v>
          </cell>
          <cell r="G78">
            <v>143400</v>
          </cell>
          <cell r="H78">
            <v>50700</v>
          </cell>
          <cell r="I78">
            <v>141900000</v>
          </cell>
          <cell r="J78">
            <v>12200000</v>
          </cell>
        </row>
        <row r="79">
          <cell r="A79" t="str">
            <v>0505-03017-01</v>
          </cell>
          <cell r="B79" t="str">
            <v>Kit, Sym Demo v1  to Sym v1 Convert -Doc &amp; Updater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</row>
        <row r="80">
          <cell r="A80" t="str">
            <v xml:space="preserve">0510-03008-01 </v>
          </cell>
          <cell r="B80" t="str">
            <v>Dongle updater - converts Demo to standard for resale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</row>
        <row r="81">
          <cell r="A81" t="str">
            <v>0555-03013-01</v>
          </cell>
          <cell r="B81" t="str">
            <v>Trade-in discount on MSP to XPNT Deluxe</v>
          </cell>
          <cell r="C81">
            <v>-2000</v>
          </cell>
          <cell r="D81">
            <v>-1500</v>
          </cell>
          <cell r="E81">
            <v>-1800</v>
          </cell>
          <cell r="F81">
            <v>-12000</v>
          </cell>
          <cell r="G81">
            <v>-3600</v>
          </cell>
          <cell r="H81">
            <v>-1300</v>
          </cell>
          <cell r="I81">
            <v>-3500000</v>
          </cell>
          <cell r="J81">
            <v>-300000</v>
          </cell>
        </row>
        <row r="82">
          <cell r="A82" t="str">
            <v>0555-03014-01</v>
          </cell>
          <cell r="B82" t="str">
            <v>Trade-in discount on MSP to XPNT Elite</v>
          </cell>
          <cell r="C82">
            <v>-4000</v>
          </cell>
          <cell r="D82">
            <v>-3000</v>
          </cell>
          <cell r="E82">
            <v>-3700</v>
          </cell>
          <cell r="F82">
            <v>-24000</v>
          </cell>
          <cell r="G82">
            <v>-7200</v>
          </cell>
          <cell r="H82">
            <v>-2500</v>
          </cell>
          <cell r="I82">
            <v>-7100000</v>
          </cell>
          <cell r="J82">
            <v>-610000</v>
          </cell>
        </row>
        <row r="83">
          <cell r="A83" t="str">
            <v>0560-03002-01</v>
          </cell>
          <cell r="B83" t="str">
            <v>SoftImage DS 2.0 RT 2x21" Mon, PAL - DEMO</v>
          </cell>
          <cell r="C83">
            <v>108550</v>
          </cell>
          <cell r="D83">
            <v>81400</v>
          </cell>
          <cell r="E83">
            <v>99500</v>
          </cell>
          <cell r="F83">
            <v>652400</v>
          </cell>
          <cell r="G83">
            <v>194500</v>
          </cell>
          <cell r="H83">
            <v>68800</v>
          </cell>
          <cell r="I83">
            <v>192600000</v>
          </cell>
          <cell r="J83">
            <v>16550000</v>
          </cell>
        </row>
        <row r="84">
          <cell r="A84" t="str">
            <v>0560-03005-01</v>
          </cell>
          <cell r="B84" t="str">
            <v>SoftImage DS 2.0 RT 1x24" Mon, PAL - DEMO</v>
          </cell>
          <cell r="C84">
            <v>108550</v>
          </cell>
          <cell r="D84">
            <v>81400</v>
          </cell>
          <cell r="E84">
            <v>99500</v>
          </cell>
          <cell r="F84">
            <v>652400</v>
          </cell>
          <cell r="G84">
            <v>194500</v>
          </cell>
          <cell r="H84">
            <v>68800</v>
          </cell>
          <cell r="I84">
            <v>192600000</v>
          </cell>
          <cell r="J84">
            <v>16550000</v>
          </cell>
        </row>
        <row r="85">
          <cell r="A85" t="str">
            <v>0560-03039-01</v>
          </cell>
          <cell r="B85" t="str">
            <v xml:space="preserve">Trade-in discount MCX to XPNT Deluxe </v>
          </cell>
          <cell r="C85">
            <v>-2000</v>
          </cell>
          <cell r="D85">
            <v>-1500</v>
          </cell>
          <cell r="E85">
            <v>-1800</v>
          </cell>
          <cell r="F85">
            <v>-12000</v>
          </cell>
          <cell r="G85">
            <v>-3600</v>
          </cell>
          <cell r="H85">
            <v>-1300</v>
          </cell>
          <cell r="I85">
            <v>-3500000</v>
          </cell>
          <cell r="J85">
            <v>-300000</v>
          </cell>
        </row>
        <row r="86">
          <cell r="A86" t="str">
            <v>0560-03040-01</v>
          </cell>
          <cell r="B86" t="str">
            <v>Trade-in discount MCX to XPNT Elite</v>
          </cell>
          <cell r="C86">
            <v>-4000</v>
          </cell>
          <cell r="D86">
            <v>-3000</v>
          </cell>
          <cell r="E86">
            <v>-3700</v>
          </cell>
          <cell r="F86">
            <v>-24000</v>
          </cell>
          <cell r="G86">
            <v>-7200</v>
          </cell>
          <cell r="H86">
            <v>-2500</v>
          </cell>
          <cell r="I86">
            <v>-7100000</v>
          </cell>
          <cell r="J86">
            <v>-610000</v>
          </cell>
        </row>
        <row r="87">
          <cell r="A87" t="str">
            <v>0560-03041-01</v>
          </cell>
          <cell r="B87" t="str">
            <v>Trade-in discount MCX-RT to XPNT Deluxe, 16x9 FOC</v>
          </cell>
          <cell r="C87">
            <v>-5000</v>
          </cell>
          <cell r="D87">
            <v>-3800</v>
          </cell>
          <cell r="E87">
            <v>-4600</v>
          </cell>
          <cell r="F87">
            <v>-30100</v>
          </cell>
          <cell r="G87">
            <v>-9000</v>
          </cell>
          <cell r="H87">
            <v>-3200</v>
          </cell>
          <cell r="I87">
            <v>-8900000</v>
          </cell>
          <cell r="J87">
            <v>-760000</v>
          </cell>
        </row>
        <row r="88">
          <cell r="A88" t="str">
            <v>0560-03043-01</v>
          </cell>
          <cell r="B88" t="str">
            <v xml:space="preserve">Trade-in discount MCX-RT to XPNT Elite, 16x9 FOC </v>
          </cell>
          <cell r="C88">
            <v>-8000</v>
          </cell>
          <cell r="D88">
            <v>-6000</v>
          </cell>
          <cell r="E88">
            <v>-7300</v>
          </cell>
          <cell r="F88">
            <v>-48100</v>
          </cell>
          <cell r="G88">
            <v>-14300</v>
          </cell>
          <cell r="H88">
            <v>-5100</v>
          </cell>
          <cell r="I88">
            <v>-14200000</v>
          </cell>
          <cell r="J88">
            <v>-1220000</v>
          </cell>
        </row>
        <row r="89">
          <cell r="A89" t="str">
            <v>0560-03052-21</v>
          </cell>
          <cell r="B89" t="str">
            <v>NewsCutter Mac To NC DV Upgrade</v>
          </cell>
          <cell r="C89">
            <v>49900</v>
          </cell>
          <cell r="D89">
            <v>37400</v>
          </cell>
          <cell r="E89">
            <v>45700</v>
          </cell>
          <cell r="F89">
            <v>299900</v>
          </cell>
          <cell r="G89">
            <v>89400</v>
          </cell>
          <cell r="H89">
            <v>31600</v>
          </cell>
          <cell r="I89">
            <v>88500000</v>
          </cell>
          <cell r="J89">
            <v>7610000</v>
          </cell>
        </row>
        <row r="90">
          <cell r="A90" t="str">
            <v>0560-03054-01</v>
          </cell>
          <cell r="B90" t="str">
            <v>Credit Media 100 to Xpress NT Deluxe</v>
          </cell>
          <cell r="C90">
            <v>-5000</v>
          </cell>
          <cell r="D90">
            <v>-3800</v>
          </cell>
          <cell r="E90">
            <v>-4600</v>
          </cell>
          <cell r="F90">
            <v>-30100</v>
          </cell>
          <cell r="G90">
            <v>-9000</v>
          </cell>
          <cell r="H90">
            <v>-3200</v>
          </cell>
          <cell r="I90">
            <v>-8900000</v>
          </cell>
          <cell r="J90">
            <v>-760000</v>
          </cell>
        </row>
        <row r="91">
          <cell r="A91" t="str">
            <v>0560-03054-02</v>
          </cell>
          <cell r="B91" t="str">
            <v>Credit Media 100 to Xpress NT Elite</v>
          </cell>
          <cell r="C91">
            <v>-10000</v>
          </cell>
          <cell r="D91">
            <v>-7500</v>
          </cell>
          <cell r="E91">
            <v>-9200</v>
          </cell>
          <cell r="F91">
            <v>-60100</v>
          </cell>
          <cell r="G91">
            <v>-17900</v>
          </cell>
          <cell r="H91">
            <v>-6300</v>
          </cell>
          <cell r="I91">
            <v>-17700000</v>
          </cell>
          <cell r="J91">
            <v>-1520000</v>
          </cell>
        </row>
        <row r="92">
          <cell r="A92" t="str">
            <v>0560-03055-01</v>
          </cell>
          <cell r="B92" t="str">
            <v>Credit D-Vision/Discreet to Xpress NT Deluxe</v>
          </cell>
          <cell r="C92">
            <v>-5000</v>
          </cell>
          <cell r="D92">
            <v>-3800</v>
          </cell>
          <cell r="E92">
            <v>-4600</v>
          </cell>
          <cell r="F92">
            <v>-30100</v>
          </cell>
          <cell r="G92">
            <v>-9000</v>
          </cell>
          <cell r="H92">
            <v>-3200</v>
          </cell>
          <cell r="I92">
            <v>-8900000</v>
          </cell>
          <cell r="J92">
            <v>-760000</v>
          </cell>
        </row>
        <row r="93">
          <cell r="A93" t="str">
            <v>0560-03055-02</v>
          </cell>
          <cell r="B93" t="str">
            <v>Credit D-Vision/Discreet to Xpress NT Elite</v>
          </cell>
          <cell r="C93">
            <v>-10000</v>
          </cell>
          <cell r="D93">
            <v>-7500</v>
          </cell>
          <cell r="E93">
            <v>-9200</v>
          </cell>
          <cell r="F93">
            <v>-60100</v>
          </cell>
          <cell r="G93">
            <v>-17900</v>
          </cell>
          <cell r="H93">
            <v>-6300</v>
          </cell>
          <cell r="I93">
            <v>-17700000</v>
          </cell>
          <cell r="J93">
            <v>-1520000</v>
          </cell>
        </row>
        <row r="94">
          <cell r="A94" t="str">
            <v>0560-03056-01</v>
          </cell>
          <cell r="B94" t="str">
            <v>Credit Scitex to Xpress NT Deluxe</v>
          </cell>
          <cell r="C94">
            <v>-5000</v>
          </cell>
          <cell r="D94">
            <v>-3800</v>
          </cell>
          <cell r="E94">
            <v>-4600</v>
          </cell>
          <cell r="F94">
            <v>-30100</v>
          </cell>
          <cell r="G94">
            <v>-9000</v>
          </cell>
          <cell r="H94">
            <v>-3200</v>
          </cell>
          <cell r="I94">
            <v>-8900000</v>
          </cell>
          <cell r="J94">
            <v>-760000</v>
          </cell>
        </row>
        <row r="95">
          <cell r="A95" t="str">
            <v>0560-03056-02</v>
          </cell>
          <cell r="B95" t="str">
            <v>Credit Scitex to Xpress NT Elite</v>
          </cell>
          <cell r="C95">
            <v>-10000</v>
          </cell>
          <cell r="D95">
            <v>-7500</v>
          </cell>
          <cell r="E95">
            <v>-9200</v>
          </cell>
          <cell r="F95">
            <v>-60100</v>
          </cell>
          <cell r="G95">
            <v>-17900</v>
          </cell>
          <cell r="H95">
            <v>-6300</v>
          </cell>
          <cell r="I95">
            <v>-17700000</v>
          </cell>
          <cell r="J95">
            <v>-1520000</v>
          </cell>
        </row>
        <row r="96">
          <cell r="A96" t="str">
            <v>0560-03057-01</v>
          </cell>
          <cell r="B96" t="str">
            <v xml:space="preserve">Trade-in discount on MSP to XPNT Deluxe </v>
          </cell>
          <cell r="C96">
            <v>-5000</v>
          </cell>
          <cell r="D96">
            <v>-3800</v>
          </cell>
          <cell r="E96">
            <v>-4600</v>
          </cell>
          <cell r="F96">
            <v>-30100</v>
          </cell>
          <cell r="G96">
            <v>-9000</v>
          </cell>
          <cell r="H96">
            <v>-3200</v>
          </cell>
          <cell r="I96">
            <v>-8900000</v>
          </cell>
          <cell r="J96">
            <v>-760000</v>
          </cell>
        </row>
        <row r="97">
          <cell r="A97" t="str">
            <v>0560-03058-01</v>
          </cell>
          <cell r="B97" t="str">
            <v>Credit Fast Video Machine to Xpress NT Deluxe</v>
          </cell>
          <cell r="C97">
            <v>-5000</v>
          </cell>
          <cell r="D97">
            <v>-3800</v>
          </cell>
          <cell r="E97">
            <v>-4600</v>
          </cell>
          <cell r="F97">
            <v>-30100</v>
          </cell>
          <cell r="G97">
            <v>-9000</v>
          </cell>
          <cell r="H97">
            <v>-3200</v>
          </cell>
          <cell r="I97">
            <v>-8900000</v>
          </cell>
          <cell r="J97">
            <v>-760000</v>
          </cell>
        </row>
        <row r="98">
          <cell r="A98" t="str">
            <v>0560-03058-02</v>
          </cell>
          <cell r="B98" t="str">
            <v>Credit Fast Video Machine to Xpress NT Elite</v>
          </cell>
          <cell r="C98">
            <v>-10000</v>
          </cell>
          <cell r="D98">
            <v>-7500</v>
          </cell>
          <cell r="E98">
            <v>-9200</v>
          </cell>
          <cell r="F98">
            <v>-60100</v>
          </cell>
          <cell r="G98">
            <v>-17900</v>
          </cell>
          <cell r="H98">
            <v>-6300</v>
          </cell>
          <cell r="I98">
            <v>-17700000</v>
          </cell>
          <cell r="J98">
            <v>-1520000</v>
          </cell>
        </row>
        <row r="99">
          <cell r="A99" t="str">
            <v>0560-03061-02</v>
          </cell>
          <cell r="B99" t="str">
            <v xml:space="preserve">Promo Avid Xpress NT Power Bundle, Reseller Demo  </v>
          </cell>
          <cell r="C99">
            <v>650</v>
          </cell>
          <cell r="D99">
            <v>650</v>
          </cell>
          <cell r="E99">
            <v>600</v>
          </cell>
          <cell r="F99">
            <v>3910</v>
          </cell>
          <cell r="G99">
            <v>1160</v>
          </cell>
          <cell r="H99">
            <v>410</v>
          </cell>
          <cell r="I99">
            <v>1153000</v>
          </cell>
          <cell r="J99">
            <v>99100</v>
          </cell>
        </row>
        <row r="100">
          <cell r="A100" t="str">
            <v xml:space="preserve">0560-03062-01 </v>
          </cell>
          <cell r="B100" t="str">
            <v>Marquee for WindowsNT - Retail</v>
          </cell>
          <cell r="C100">
            <v>3750</v>
          </cell>
          <cell r="D100">
            <v>2800</v>
          </cell>
          <cell r="E100">
            <v>3400</v>
          </cell>
          <cell r="F100">
            <v>22500</v>
          </cell>
          <cell r="G100">
            <v>6700</v>
          </cell>
          <cell r="H100">
            <v>2400</v>
          </cell>
          <cell r="I100">
            <v>6700000</v>
          </cell>
          <cell r="J100">
            <v>570000</v>
          </cell>
        </row>
        <row r="101">
          <cell r="B101" t="str">
            <v>SI 3D to Media Illusion  Multi CPU Upgrade</v>
          </cell>
          <cell r="C101">
            <v>23000</v>
          </cell>
          <cell r="D101">
            <v>17300</v>
          </cell>
          <cell r="E101">
            <v>21100</v>
          </cell>
          <cell r="F101">
            <v>138200</v>
          </cell>
          <cell r="G101">
            <v>41200</v>
          </cell>
          <cell r="H101">
            <v>14600</v>
          </cell>
          <cell r="I101">
            <v>40800000</v>
          </cell>
          <cell r="J101">
            <v>3510000</v>
          </cell>
        </row>
        <row r="102">
          <cell r="B102" t="str">
            <v>SI 3D to Media Illusion Upgrade</v>
          </cell>
          <cell r="C102">
            <v>18000</v>
          </cell>
          <cell r="D102">
            <v>13500</v>
          </cell>
          <cell r="E102">
            <v>16500</v>
          </cell>
          <cell r="F102">
            <v>108200</v>
          </cell>
          <cell r="G102">
            <v>32300</v>
          </cell>
          <cell r="H102">
            <v>11400</v>
          </cell>
          <cell r="I102">
            <v>31900000</v>
          </cell>
          <cell r="J102">
            <v>2740000</v>
          </cell>
        </row>
        <row r="103">
          <cell r="A103" t="str">
            <v>0510-03059-01</v>
          </cell>
          <cell r="B103" t="str">
            <v>Aftermarket Upgrade to 3DFX Card for MC1K</v>
          </cell>
          <cell r="C103">
            <v>12995</v>
          </cell>
          <cell r="D103">
            <v>9700</v>
          </cell>
          <cell r="E103">
            <v>11900</v>
          </cell>
          <cell r="F103">
            <v>78100</v>
          </cell>
          <cell r="G103">
            <v>23300</v>
          </cell>
          <cell r="H103">
            <v>8200</v>
          </cell>
          <cell r="I103">
            <v>23100000</v>
          </cell>
          <cell r="J103">
            <v>1980000</v>
          </cell>
        </row>
        <row r="104">
          <cell r="B104" t="str">
            <v>3D Module only (no Python)</v>
          </cell>
          <cell r="C104">
            <v>16900</v>
          </cell>
          <cell r="D104">
            <v>12700</v>
          </cell>
          <cell r="E104">
            <v>15500</v>
          </cell>
          <cell r="F104">
            <v>101600</v>
          </cell>
          <cell r="G104">
            <v>30300</v>
          </cell>
          <cell r="H104">
            <v>10700</v>
          </cell>
          <cell r="I104">
            <v>30000000</v>
          </cell>
          <cell r="J104">
            <v>2580000</v>
          </cell>
        </row>
        <row r="105">
          <cell r="B105" t="str">
            <v>Additional Trainee Per Day</v>
          </cell>
          <cell r="C105">
            <v>425</v>
          </cell>
          <cell r="D105">
            <v>320</v>
          </cell>
          <cell r="E105">
            <v>390</v>
          </cell>
          <cell r="F105">
            <v>2550</v>
          </cell>
          <cell r="G105">
            <v>760</v>
          </cell>
          <cell r="H105">
            <v>270</v>
          </cell>
          <cell r="I105">
            <v>754000</v>
          </cell>
          <cell r="J105">
            <v>64800</v>
          </cell>
        </row>
        <row r="106">
          <cell r="B106" t="str">
            <v>Broadcast AirPlay Remote control Panel</v>
          </cell>
          <cell r="C106">
            <v>2100</v>
          </cell>
          <cell r="D106">
            <v>1600</v>
          </cell>
          <cell r="E106">
            <v>1900</v>
          </cell>
          <cell r="F106">
            <v>12600</v>
          </cell>
          <cell r="G106">
            <v>3800</v>
          </cell>
          <cell r="H106">
            <v>1300</v>
          </cell>
          <cell r="I106">
            <v>3700000</v>
          </cell>
          <cell r="J106">
            <v>320000</v>
          </cell>
        </row>
        <row r="107">
          <cell r="B107" t="str">
            <v>AMCI 16 Channel Audio Board</v>
          </cell>
          <cell r="C107">
            <v>5600</v>
          </cell>
          <cell r="D107">
            <v>4200</v>
          </cell>
          <cell r="E107">
            <v>5100</v>
          </cell>
          <cell r="F107">
            <v>33700</v>
          </cell>
          <cell r="G107">
            <v>10000</v>
          </cell>
          <cell r="H107">
            <v>3500</v>
          </cell>
          <cell r="I107">
            <v>9900000</v>
          </cell>
          <cell r="J107">
            <v>850000</v>
          </cell>
        </row>
        <row r="108">
          <cell r="B108" t="str">
            <v>Canford Audio Amplifier</v>
          </cell>
          <cell r="C108">
            <v>825</v>
          </cell>
          <cell r="D108">
            <v>620</v>
          </cell>
          <cell r="E108">
            <v>760</v>
          </cell>
          <cell r="F108">
            <v>4960</v>
          </cell>
          <cell r="G108">
            <v>1480</v>
          </cell>
          <cell r="H108">
            <v>520</v>
          </cell>
          <cell r="I108">
            <v>1464000</v>
          </cell>
          <cell r="J108">
            <v>125800</v>
          </cell>
        </row>
        <row r="109">
          <cell r="A109" t="str">
            <v>0010-03381-01</v>
          </cell>
          <cell r="B109" t="str">
            <v>Canford Amplifier and Boston Speakers</v>
          </cell>
          <cell r="C109">
            <v>1450</v>
          </cell>
          <cell r="D109">
            <v>1090</v>
          </cell>
          <cell r="E109">
            <v>1330</v>
          </cell>
          <cell r="F109">
            <v>8710</v>
          </cell>
          <cell r="G109">
            <v>2600</v>
          </cell>
          <cell r="H109">
            <v>920</v>
          </cell>
          <cell r="I109">
            <v>2572000</v>
          </cell>
          <cell r="J109">
            <v>221100</v>
          </cell>
        </row>
        <row r="110">
          <cell r="B110" t="str">
            <v>Video Board for Avid Media Processor</v>
          </cell>
          <cell r="C110">
            <v>1090</v>
          </cell>
          <cell r="D110">
            <v>820</v>
          </cell>
          <cell r="E110">
            <v>1000</v>
          </cell>
          <cell r="F110">
            <v>6550</v>
          </cell>
          <cell r="G110">
            <v>1950</v>
          </cell>
          <cell r="H110">
            <v>690</v>
          </cell>
          <cell r="I110">
            <v>1934000</v>
          </cell>
          <cell r="J110">
            <v>166200</v>
          </cell>
        </row>
        <row r="111">
          <cell r="B111" t="str">
            <v>AvidNews Broadcast Control Server Kit</v>
          </cell>
          <cell r="C111">
            <v>1800</v>
          </cell>
          <cell r="D111">
            <v>1350</v>
          </cell>
          <cell r="E111">
            <v>1650</v>
          </cell>
          <cell r="F111">
            <v>10820</v>
          </cell>
          <cell r="G111">
            <v>3230</v>
          </cell>
          <cell r="H111">
            <v>1140</v>
          </cell>
          <cell r="I111">
            <v>3193000</v>
          </cell>
          <cell r="J111">
            <v>274400</v>
          </cell>
        </row>
        <row r="112">
          <cell r="B112" t="str">
            <v>AvidNews Broadcast Control Server Kit</v>
          </cell>
          <cell r="C112">
            <v>1800</v>
          </cell>
          <cell r="D112">
            <v>1350</v>
          </cell>
          <cell r="E112">
            <v>1650</v>
          </cell>
          <cell r="F112">
            <v>10820</v>
          </cell>
          <cell r="G112">
            <v>3230</v>
          </cell>
          <cell r="H112">
            <v>1140</v>
          </cell>
          <cell r="I112">
            <v>3193000</v>
          </cell>
          <cell r="J112">
            <v>274400</v>
          </cell>
        </row>
        <row r="113">
          <cell r="B113" t="str">
            <v>AvidNews Capture Manager Kit</v>
          </cell>
          <cell r="C113">
            <v>1400</v>
          </cell>
          <cell r="D113">
            <v>1050</v>
          </cell>
          <cell r="E113">
            <v>1280</v>
          </cell>
          <cell r="F113">
            <v>8410</v>
          </cell>
          <cell r="G113">
            <v>2510</v>
          </cell>
          <cell r="H113">
            <v>890</v>
          </cell>
          <cell r="I113">
            <v>2484000</v>
          </cell>
          <cell r="J113">
            <v>213400</v>
          </cell>
        </row>
        <row r="114">
          <cell r="B114" t="str">
            <v>AvidNews Capture Station Kit</v>
          </cell>
          <cell r="C114">
            <v>4400</v>
          </cell>
          <cell r="D114">
            <v>3300</v>
          </cell>
          <cell r="E114">
            <v>4000</v>
          </cell>
          <cell r="F114">
            <v>26400</v>
          </cell>
          <cell r="G114">
            <v>7900</v>
          </cell>
          <cell r="H114">
            <v>2800</v>
          </cell>
          <cell r="I114">
            <v>7800000</v>
          </cell>
          <cell r="J114">
            <v>670000</v>
          </cell>
        </row>
        <row r="115">
          <cell r="B115" t="str">
            <v>AvidNews Media Asset Manager Kit</v>
          </cell>
          <cell r="C115">
            <v>1400</v>
          </cell>
          <cell r="D115">
            <v>1050</v>
          </cell>
          <cell r="E115">
            <v>1280</v>
          </cell>
          <cell r="F115">
            <v>8410</v>
          </cell>
          <cell r="G115">
            <v>2510</v>
          </cell>
          <cell r="H115">
            <v>890</v>
          </cell>
          <cell r="I115">
            <v>2484000</v>
          </cell>
          <cell r="J115">
            <v>213400</v>
          </cell>
        </row>
        <row r="116">
          <cell r="B116" t="str">
            <v xml:space="preserve">AR/1 Adjustable Camera Mounting Plate </v>
          </cell>
          <cell r="C116">
            <v>700</v>
          </cell>
          <cell r="D116">
            <v>530</v>
          </cell>
          <cell r="E116">
            <v>640</v>
          </cell>
          <cell r="F116">
            <v>4210</v>
          </cell>
          <cell r="G116">
            <v>1250</v>
          </cell>
          <cell r="H116">
            <v>440</v>
          </cell>
          <cell r="I116">
            <v>1242000</v>
          </cell>
          <cell r="J116">
            <v>106700</v>
          </cell>
        </row>
        <row r="117">
          <cell r="B117" t="str">
            <v xml:space="preserve">B/A2271  Foot Control </v>
          </cell>
          <cell r="C117">
            <v>600</v>
          </cell>
          <cell r="D117">
            <v>450</v>
          </cell>
          <cell r="E117">
            <v>550</v>
          </cell>
          <cell r="F117">
            <v>3610</v>
          </cell>
          <cell r="G117">
            <v>1080</v>
          </cell>
          <cell r="H117">
            <v>380</v>
          </cell>
          <cell r="I117">
            <v>1064000</v>
          </cell>
          <cell r="J117">
            <v>91500</v>
          </cell>
        </row>
        <row r="118">
          <cell r="B118" t="str">
            <v>Prompter Foot Control + Pad</v>
          </cell>
          <cell r="C118">
            <v>700</v>
          </cell>
          <cell r="D118">
            <v>530</v>
          </cell>
          <cell r="E118">
            <v>640</v>
          </cell>
          <cell r="F118">
            <v>4210</v>
          </cell>
          <cell r="G118">
            <v>1250</v>
          </cell>
          <cell r="H118">
            <v>440</v>
          </cell>
          <cell r="I118">
            <v>1242000</v>
          </cell>
          <cell r="J118">
            <v>106700</v>
          </cell>
        </row>
        <row r="119">
          <cell r="B119" t="str">
            <v>B/H/C  Hand Control</v>
          </cell>
          <cell r="C119">
            <v>400</v>
          </cell>
          <cell r="D119">
            <v>300</v>
          </cell>
          <cell r="E119">
            <v>370</v>
          </cell>
          <cell r="F119">
            <v>2400</v>
          </cell>
          <cell r="G119">
            <v>720</v>
          </cell>
          <cell r="H119">
            <v>250</v>
          </cell>
          <cell r="I119">
            <v>710000</v>
          </cell>
          <cell r="J119">
            <v>61000</v>
          </cell>
        </row>
        <row r="120">
          <cell r="B120" t="str">
            <v>B/4/1 JUNC   4 Hand/foot in to 1 Prompter out Box</v>
          </cell>
          <cell r="C120">
            <v>500</v>
          </cell>
          <cell r="D120">
            <v>380</v>
          </cell>
          <cell r="E120">
            <v>460</v>
          </cell>
          <cell r="F120">
            <v>3010</v>
          </cell>
          <cell r="G120">
            <v>900</v>
          </cell>
          <cell r="H120">
            <v>320</v>
          </cell>
          <cell r="I120">
            <v>887000</v>
          </cell>
          <cell r="J120">
            <v>76200</v>
          </cell>
        </row>
        <row r="121">
          <cell r="B121" t="str">
            <v>Prompter Avid WINPLUS V1.51 (Network ver.)</v>
          </cell>
          <cell r="C121">
            <v>8500</v>
          </cell>
          <cell r="D121">
            <v>6400</v>
          </cell>
          <cell r="E121">
            <v>7800</v>
          </cell>
          <cell r="F121">
            <v>51100</v>
          </cell>
          <cell r="G121">
            <v>15200</v>
          </cell>
          <cell r="H121">
            <v>5400</v>
          </cell>
          <cell r="I121">
            <v>15100000</v>
          </cell>
          <cell r="J121">
            <v>1300000</v>
          </cell>
        </row>
        <row r="122">
          <cell r="B122" t="str">
            <v>CUE/L       On-camera Cue light  cable type</v>
          </cell>
          <cell r="C122">
            <v>300</v>
          </cell>
          <cell r="D122">
            <v>230</v>
          </cell>
          <cell r="E122">
            <v>270</v>
          </cell>
          <cell r="F122">
            <v>1800</v>
          </cell>
          <cell r="G122">
            <v>540</v>
          </cell>
          <cell r="H122">
            <v>190</v>
          </cell>
          <cell r="I122">
            <v>532000</v>
          </cell>
          <cell r="J122">
            <v>45700</v>
          </cell>
        </row>
        <row r="123">
          <cell r="B123" t="str">
            <v>CUE/L/S    On-camera Cue light  sensor type</v>
          </cell>
          <cell r="C123">
            <v>400</v>
          </cell>
          <cell r="D123">
            <v>300</v>
          </cell>
          <cell r="E123">
            <v>370</v>
          </cell>
          <cell r="F123">
            <v>2400</v>
          </cell>
          <cell r="G123">
            <v>720</v>
          </cell>
          <cell r="H123">
            <v>250</v>
          </cell>
          <cell r="I123">
            <v>710000</v>
          </cell>
          <cell r="J123">
            <v>61000</v>
          </cell>
        </row>
        <row r="124">
          <cell r="B124" t="str">
            <v xml:space="preserve">A5500 On Camera Unit   12" </v>
          </cell>
          <cell r="C124">
            <v>4500</v>
          </cell>
          <cell r="D124">
            <v>3400</v>
          </cell>
          <cell r="E124">
            <v>4100</v>
          </cell>
          <cell r="F124">
            <v>27000</v>
          </cell>
          <cell r="G124">
            <v>8100</v>
          </cell>
          <cell r="H124">
            <v>2900</v>
          </cell>
          <cell r="I124">
            <v>8000000</v>
          </cell>
          <cell r="J124">
            <v>690000</v>
          </cell>
        </row>
        <row r="125">
          <cell r="B125" t="str">
            <v xml:space="preserve">A6500 On Camera Unit   15" </v>
          </cell>
          <cell r="C125">
            <v>4800</v>
          </cell>
          <cell r="D125">
            <v>3600</v>
          </cell>
          <cell r="E125">
            <v>4400</v>
          </cell>
          <cell r="F125">
            <v>28800</v>
          </cell>
          <cell r="G125">
            <v>8600</v>
          </cell>
          <cell r="H125">
            <v>3000</v>
          </cell>
          <cell r="I125">
            <v>8500000</v>
          </cell>
          <cell r="J125">
            <v>730000</v>
          </cell>
        </row>
        <row r="126">
          <cell r="B126" t="str">
            <v>A8500  Camera Unit   9""</v>
          </cell>
          <cell r="C126">
            <v>4300</v>
          </cell>
          <cell r="D126">
            <v>3200</v>
          </cell>
          <cell r="E126">
            <v>3900</v>
          </cell>
          <cell r="F126">
            <v>25800</v>
          </cell>
          <cell r="G126">
            <v>7700</v>
          </cell>
          <cell r="H126">
            <v>2700</v>
          </cell>
          <cell r="I126">
            <v>7600000</v>
          </cell>
          <cell r="J126">
            <v>660000</v>
          </cell>
        </row>
        <row r="127">
          <cell r="B127" t="str">
            <v xml:space="preserve">AvidNews macine control capabilities course for journalists. </v>
          </cell>
          <cell r="C127">
            <v>6300</v>
          </cell>
          <cell r="D127">
            <v>4700</v>
          </cell>
          <cell r="E127">
            <v>5800</v>
          </cell>
          <cell r="F127">
            <v>37900</v>
          </cell>
          <cell r="G127">
            <v>11300</v>
          </cell>
          <cell r="H127">
            <v>4000</v>
          </cell>
          <cell r="I127">
            <v>11200000</v>
          </cell>
          <cell r="J127">
            <v>960000</v>
          </cell>
        </row>
        <row r="128">
          <cell r="B128" t="str">
            <v>AvidNews System Administration (UNIX)</v>
          </cell>
          <cell r="C128">
            <v>9000</v>
          </cell>
          <cell r="D128">
            <v>6800</v>
          </cell>
          <cell r="E128">
            <v>8200</v>
          </cell>
          <cell r="F128">
            <v>54100</v>
          </cell>
          <cell r="G128">
            <v>16100</v>
          </cell>
          <cell r="H128">
            <v>5700</v>
          </cell>
          <cell r="I128">
            <v>16000000</v>
          </cell>
          <cell r="J128">
            <v>1370000</v>
          </cell>
        </row>
        <row r="129">
          <cell r="B129" t="str">
            <v xml:space="preserve">AvidNews video capabilities course for journalists. </v>
          </cell>
          <cell r="C129">
            <v>6300</v>
          </cell>
          <cell r="D129">
            <v>4700</v>
          </cell>
          <cell r="E129">
            <v>5800</v>
          </cell>
          <cell r="F129">
            <v>37900</v>
          </cell>
          <cell r="G129">
            <v>11300</v>
          </cell>
          <cell r="H129">
            <v>4000</v>
          </cell>
          <cell r="I129">
            <v>11200000</v>
          </cell>
          <cell r="J129">
            <v>960000</v>
          </cell>
        </row>
        <row r="130">
          <cell r="B130" t="str">
            <v xml:space="preserve">AvidNews text capabilities course for journalists. </v>
          </cell>
          <cell r="C130">
            <v>4200</v>
          </cell>
          <cell r="D130">
            <v>3200</v>
          </cell>
          <cell r="E130">
            <v>3800</v>
          </cell>
          <cell r="F130">
            <v>25200</v>
          </cell>
          <cell r="G130">
            <v>7500</v>
          </cell>
          <cell r="H130">
            <v>2700</v>
          </cell>
          <cell r="I130">
            <v>7500000</v>
          </cell>
          <cell r="J130">
            <v>640000</v>
          </cell>
        </row>
        <row r="131">
          <cell r="B131" t="str">
            <v>Analogue Patch Panel for AMP with cables</v>
          </cell>
          <cell r="C131">
            <v>1300</v>
          </cell>
          <cell r="D131">
            <v>980</v>
          </cell>
          <cell r="E131">
            <v>1190</v>
          </cell>
          <cell r="F131">
            <v>7810</v>
          </cell>
          <cell r="G131">
            <v>2330</v>
          </cell>
          <cell r="H131">
            <v>820</v>
          </cell>
          <cell r="I131">
            <v>2306000</v>
          </cell>
          <cell r="J131">
            <v>198200</v>
          </cell>
        </row>
        <row r="132">
          <cell r="B132" t="str">
            <v>AvidNet Peer To Peer Client Kit</v>
          </cell>
          <cell r="C132">
            <v>3700</v>
          </cell>
          <cell r="D132">
            <v>2800</v>
          </cell>
          <cell r="E132">
            <v>3400</v>
          </cell>
          <cell r="F132">
            <v>22200</v>
          </cell>
          <cell r="G132">
            <v>6600</v>
          </cell>
          <cell r="H132">
            <v>2300</v>
          </cell>
          <cell r="I132">
            <v>6600000</v>
          </cell>
          <cell r="J132">
            <v>560000</v>
          </cell>
        </row>
        <row r="133">
          <cell r="B133" t="str">
            <v>AvidNet Peer To Peer 12 User Configuration</v>
          </cell>
          <cell r="C133">
            <v>94200</v>
          </cell>
          <cell r="D133">
            <v>70700</v>
          </cell>
          <cell r="E133">
            <v>86300</v>
          </cell>
          <cell r="F133">
            <v>566200</v>
          </cell>
          <cell r="G133">
            <v>168800</v>
          </cell>
          <cell r="H133">
            <v>59700</v>
          </cell>
          <cell r="I133">
            <v>167100000</v>
          </cell>
          <cell r="J133">
            <v>14360000</v>
          </cell>
        </row>
        <row r="134">
          <cell r="B134" t="str">
            <v>AvidNet Peer To Peer 16 User Configuration</v>
          </cell>
          <cell r="C134">
            <v>116400</v>
          </cell>
          <cell r="D134">
            <v>87300</v>
          </cell>
          <cell r="E134">
            <v>106700</v>
          </cell>
          <cell r="F134">
            <v>699600</v>
          </cell>
          <cell r="G134">
            <v>208600</v>
          </cell>
          <cell r="H134">
            <v>73800</v>
          </cell>
          <cell r="I134">
            <v>206500000</v>
          </cell>
          <cell r="J134">
            <v>17750000</v>
          </cell>
        </row>
        <row r="135">
          <cell r="B135" t="str">
            <v>AvidNet Peer To Peer 2 User Configuration</v>
          </cell>
          <cell r="C135">
            <v>7000</v>
          </cell>
          <cell r="D135">
            <v>5300</v>
          </cell>
          <cell r="E135">
            <v>6400</v>
          </cell>
          <cell r="F135">
            <v>42100</v>
          </cell>
          <cell r="G135">
            <v>12500</v>
          </cell>
          <cell r="H135">
            <v>4400</v>
          </cell>
          <cell r="I135">
            <v>12400000</v>
          </cell>
          <cell r="J135">
            <v>1070000</v>
          </cell>
        </row>
        <row r="136">
          <cell r="B136" t="str">
            <v>AvidNet Peer To Peer 3 User Configuration</v>
          </cell>
          <cell r="C136">
            <v>46700</v>
          </cell>
          <cell r="D136">
            <v>35000</v>
          </cell>
          <cell r="E136">
            <v>42800</v>
          </cell>
          <cell r="F136">
            <v>280700</v>
          </cell>
          <cell r="G136">
            <v>83700</v>
          </cell>
          <cell r="H136">
            <v>29600</v>
          </cell>
          <cell r="I136">
            <v>82900000</v>
          </cell>
          <cell r="J136">
            <v>7120000</v>
          </cell>
        </row>
        <row r="137">
          <cell r="B137" t="str">
            <v>AvidNet Peer To Peer 4 User Configuration</v>
          </cell>
          <cell r="C137">
            <v>49700</v>
          </cell>
          <cell r="D137">
            <v>37300</v>
          </cell>
          <cell r="E137">
            <v>45500</v>
          </cell>
          <cell r="F137">
            <v>298700</v>
          </cell>
          <cell r="G137">
            <v>89100</v>
          </cell>
          <cell r="H137">
            <v>31500</v>
          </cell>
          <cell r="I137">
            <v>88200000</v>
          </cell>
          <cell r="J137">
            <v>7580000</v>
          </cell>
        </row>
        <row r="138">
          <cell r="B138" t="str">
            <v>AvidNet Peer To Peer 8 User Configuration</v>
          </cell>
          <cell r="C138">
            <v>71900</v>
          </cell>
          <cell r="D138">
            <v>53900</v>
          </cell>
          <cell r="E138">
            <v>65900</v>
          </cell>
          <cell r="F138">
            <v>432100</v>
          </cell>
          <cell r="G138">
            <v>128800</v>
          </cell>
          <cell r="H138">
            <v>45600</v>
          </cell>
          <cell r="I138">
            <v>127600000</v>
          </cell>
          <cell r="J138">
            <v>10960000</v>
          </cell>
        </row>
        <row r="139">
          <cell r="B139" t="str">
            <v>AirPlay Two Channel to Three Channel Expansion Kit</v>
          </cell>
          <cell r="C139">
            <v>64900</v>
          </cell>
          <cell r="D139">
            <v>48700</v>
          </cell>
          <cell r="E139">
            <v>59500</v>
          </cell>
          <cell r="F139">
            <v>390100</v>
          </cell>
          <cell r="G139">
            <v>116300</v>
          </cell>
          <cell r="H139">
            <v>41100</v>
          </cell>
          <cell r="I139">
            <v>115100000</v>
          </cell>
          <cell r="J139">
            <v>9890000</v>
          </cell>
        </row>
        <row r="140">
          <cell r="B140" t="str">
            <v>AirPlay SW only kit (as add on to NewsCutter)</v>
          </cell>
          <cell r="C140">
            <v>29900</v>
          </cell>
          <cell r="D140">
            <v>22400</v>
          </cell>
          <cell r="E140">
            <v>27400</v>
          </cell>
          <cell r="F140">
            <v>179700</v>
          </cell>
          <cell r="G140">
            <v>53600</v>
          </cell>
          <cell r="H140">
            <v>19000</v>
          </cell>
          <cell r="I140">
            <v>53000000</v>
          </cell>
          <cell r="J140">
            <v>4560000</v>
          </cell>
        </row>
        <row r="141">
          <cell r="B141" t="str">
            <v>AirPlay Single Channel (No Storage)</v>
          </cell>
          <cell r="C141">
            <v>57545</v>
          </cell>
          <cell r="D141">
            <v>43200</v>
          </cell>
          <cell r="E141">
            <v>52700</v>
          </cell>
          <cell r="F141">
            <v>345900</v>
          </cell>
          <cell r="G141">
            <v>103100</v>
          </cell>
          <cell r="H141">
            <v>36500</v>
          </cell>
          <cell r="I141">
            <v>102100000</v>
          </cell>
          <cell r="J141">
            <v>8770000</v>
          </cell>
        </row>
        <row r="142">
          <cell r="B142" t="str">
            <v>Rack mounted Airplay Remote Panel</v>
          </cell>
          <cell r="C142">
            <v>2100</v>
          </cell>
          <cell r="D142">
            <v>1600</v>
          </cell>
          <cell r="E142">
            <v>1900</v>
          </cell>
          <cell r="F142">
            <v>12600</v>
          </cell>
          <cell r="G142">
            <v>3800</v>
          </cell>
          <cell r="H142">
            <v>1300</v>
          </cell>
          <cell r="I142">
            <v>3700000</v>
          </cell>
          <cell r="J142">
            <v>320000</v>
          </cell>
        </row>
        <row r="143">
          <cell r="B143" t="str">
            <v>Apple PowerMac 9500/150/80</v>
          </cell>
          <cell r="C143">
            <v>8995</v>
          </cell>
          <cell r="D143">
            <v>6700</v>
          </cell>
          <cell r="E143">
            <v>8200</v>
          </cell>
          <cell r="F143">
            <v>54100</v>
          </cell>
          <cell r="G143">
            <v>16100</v>
          </cell>
          <cell r="H143">
            <v>5700</v>
          </cell>
          <cell r="I143">
            <v>16000000</v>
          </cell>
          <cell r="J143">
            <v>1370000</v>
          </cell>
        </row>
        <row r="144">
          <cell r="B144" t="str">
            <v>Apple PowerMac 9500/200/96</v>
          </cell>
          <cell r="C144">
            <v>8995</v>
          </cell>
          <cell r="D144">
            <v>6700</v>
          </cell>
          <cell r="E144">
            <v>8200</v>
          </cell>
          <cell r="F144">
            <v>54100</v>
          </cell>
          <cell r="G144">
            <v>16100</v>
          </cell>
          <cell r="H144">
            <v>5700</v>
          </cell>
          <cell r="I144">
            <v>16000000</v>
          </cell>
          <cell r="J144">
            <v>1370000</v>
          </cell>
        </row>
        <row r="145">
          <cell r="B145" t="str">
            <v>100MB ZIP Drive</v>
          </cell>
          <cell r="C145">
            <v>336</v>
          </cell>
          <cell r="D145">
            <v>250</v>
          </cell>
          <cell r="E145">
            <v>310</v>
          </cell>
          <cell r="F145">
            <v>2020</v>
          </cell>
          <cell r="G145">
            <v>600</v>
          </cell>
          <cell r="H145">
            <v>210</v>
          </cell>
          <cell r="I145">
            <v>596000</v>
          </cell>
          <cell r="J145">
            <v>51200</v>
          </cell>
        </row>
        <row r="146">
          <cell r="B146" t="str">
            <v>19600-200/233 CD ROM Drive 12X</v>
          </cell>
          <cell r="C146">
            <v>427</v>
          </cell>
          <cell r="D146">
            <v>320</v>
          </cell>
          <cell r="E146">
            <v>390</v>
          </cell>
          <cell r="F146">
            <v>2570</v>
          </cell>
          <cell r="G146">
            <v>770</v>
          </cell>
          <cell r="H146">
            <v>270</v>
          </cell>
          <cell r="I146">
            <v>758000</v>
          </cell>
          <cell r="J146">
            <v>65100</v>
          </cell>
        </row>
        <row r="147">
          <cell r="B147" t="str">
            <v>9600-300 CD ROM Drive 24X</v>
          </cell>
          <cell r="C147">
            <v>476</v>
          </cell>
          <cell r="D147">
            <v>360</v>
          </cell>
          <cell r="E147">
            <v>440</v>
          </cell>
          <cell r="F147">
            <v>2860</v>
          </cell>
          <cell r="G147">
            <v>850</v>
          </cell>
          <cell r="H147">
            <v>300</v>
          </cell>
          <cell r="I147">
            <v>844000</v>
          </cell>
          <cell r="J147">
            <v>72600</v>
          </cell>
        </row>
        <row r="148">
          <cell r="B148" t="str">
            <v>9500-132/150 CD ROM Drive 4X</v>
          </cell>
          <cell r="C148">
            <v>504</v>
          </cell>
          <cell r="D148">
            <v>380</v>
          </cell>
          <cell r="E148">
            <v>460</v>
          </cell>
          <cell r="F148">
            <v>3030</v>
          </cell>
          <cell r="G148">
            <v>900</v>
          </cell>
          <cell r="H148">
            <v>320</v>
          </cell>
          <cell r="I148">
            <v>894000</v>
          </cell>
          <cell r="J148">
            <v>76800</v>
          </cell>
        </row>
        <row r="149">
          <cell r="B149" t="str">
            <v>9500-200 CD ROM Drive 8X</v>
          </cell>
          <cell r="C149">
            <v>438</v>
          </cell>
          <cell r="D149">
            <v>330</v>
          </cell>
          <cell r="E149">
            <v>400</v>
          </cell>
          <cell r="F149">
            <v>2630</v>
          </cell>
          <cell r="G149">
            <v>780</v>
          </cell>
          <cell r="H149">
            <v>280</v>
          </cell>
          <cell r="I149">
            <v>777000</v>
          </cell>
          <cell r="J149">
            <v>66800</v>
          </cell>
        </row>
        <row r="150">
          <cell r="B150" t="str">
            <v>1GB   AMP/8100 Int Hard Drive</v>
          </cell>
          <cell r="C150">
            <v>634</v>
          </cell>
          <cell r="D150">
            <v>480</v>
          </cell>
          <cell r="E150">
            <v>580</v>
          </cell>
          <cell r="F150">
            <v>3810</v>
          </cell>
          <cell r="G150">
            <v>1140</v>
          </cell>
          <cell r="H150">
            <v>400</v>
          </cell>
          <cell r="I150">
            <v>1125000</v>
          </cell>
          <cell r="J150">
            <v>96700</v>
          </cell>
        </row>
        <row r="151">
          <cell r="B151" t="str">
            <v>2GB 9500 Int Hard Drive</v>
          </cell>
          <cell r="C151">
            <v>1300</v>
          </cell>
          <cell r="D151">
            <v>980</v>
          </cell>
          <cell r="E151">
            <v>1190</v>
          </cell>
          <cell r="F151">
            <v>7810</v>
          </cell>
          <cell r="G151">
            <v>2330</v>
          </cell>
          <cell r="H151">
            <v>820</v>
          </cell>
          <cell r="I151">
            <v>2306000</v>
          </cell>
          <cell r="J151">
            <v>198200</v>
          </cell>
        </row>
        <row r="152">
          <cell r="B152" t="str">
            <v>4GB 9600 Int Hard Drive</v>
          </cell>
          <cell r="C152">
            <v>2303</v>
          </cell>
          <cell r="D152">
            <v>1700</v>
          </cell>
          <cell r="E152">
            <v>2100</v>
          </cell>
          <cell r="F152">
            <v>13800</v>
          </cell>
          <cell r="G152">
            <v>4100</v>
          </cell>
          <cell r="H152">
            <v>1500</v>
          </cell>
          <cell r="I152">
            <v>4100000</v>
          </cell>
          <cell r="J152">
            <v>350000</v>
          </cell>
        </row>
        <row r="153">
          <cell r="B153" t="str">
            <v>9500 Motherboard</v>
          </cell>
          <cell r="C153">
            <v>1425</v>
          </cell>
          <cell r="D153">
            <v>1070</v>
          </cell>
          <cell r="E153">
            <v>1310</v>
          </cell>
          <cell r="F153">
            <v>8560</v>
          </cell>
          <cell r="G153">
            <v>2550</v>
          </cell>
          <cell r="H153">
            <v>900</v>
          </cell>
          <cell r="I153">
            <v>2528000</v>
          </cell>
          <cell r="J153">
            <v>217200</v>
          </cell>
        </row>
        <row r="154">
          <cell r="B154" t="str">
            <v>9600-200/233 Motherboard</v>
          </cell>
          <cell r="C154">
            <v>2117</v>
          </cell>
          <cell r="D154">
            <v>1600</v>
          </cell>
          <cell r="E154">
            <v>1900</v>
          </cell>
          <cell r="F154">
            <v>12700</v>
          </cell>
          <cell r="G154">
            <v>3800</v>
          </cell>
          <cell r="H154">
            <v>1300</v>
          </cell>
          <cell r="I154">
            <v>3800000</v>
          </cell>
          <cell r="J154">
            <v>320000</v>
          </cell>
        </row>
        <row r="155">
          <cell r="B155" t="str">
            <v>9600-300 Motherboard</v>
          </cell>
          <cell r="C155">
            <v>1901</v>
          </cell>
          <cell r="D155">
            <v>1430</v>
          </cell>
          <cell r="E155">
            <v>1740</v>
          </cell>
          <cell r="F155">
            <v>11430</v>
          </cell>
          <cell r="G155">
            <v>3410</v>
          </cell>
          <cell r="H155">
            <v>1200</v>
          </cell>
          <cell r="I155">
            <v>3373000</v>
          </cell>
          <cell r="J155">
            <v>289800</v>
          </cell>
        </row>
        <row r="156">
          <cell r="B156" t="str">
            <v>AMP/8100 Motherboard</v>
          </cell>
          <cell r="C156">
            <v>1527</v>
          </cell>
          <cell r="D156">
            <v>1150</v>
          </cell>
          <cell r="E156">
            <v>1400</v>
          </cell>
          <cell r="F156">
            <v>9180</v>
          </cell>
          <cell r="G156">
            <v>2740</v>
          </cell>
          <cell r="H156">
            <v>970</v>
          </cell>
          <cell r="I156">
            <v>2709000</v>
          </cell>
          <cell r="J156">
            <v>232800</v>
          </cell>
        </row>
        <row r="157">
          <cell r="B157" t="str">
            <v>Quadra 950 Motherboard</v>
          </cell>
          <cell r="C157">
            <v>695</v>
          </cell>
          <cell r="D157">
            <v>520</v>
          </cell>
          <cell r="E157">
            <v>640</v>
          </cell>
          <cell r="F157">
            <v>4180</v>
          </cell>
          <cell r="G157">
            <v>1250</v>
          </cell>
          <cell r="H157">
            <v>440</v>
          </cell>
          <cell r="I157">
            <v>1233000</v>
          </cell>
          <cell r="J157">
            <v>106000</v>
          </cell>
        </row>
        <row r="158">
          <cell r="B158" t="str">
            <v>132MHz Processor For 9500</v>
          </cell>
          <cell r="C158">
            <v>2206</v>
          </cell>
          <cell r="D158">
            <v>1700</v>
          </cell>
          <cell r="E158">
            <v>2000</v>
          </cell>
          <cell r="F158">
            <v>13300</v>
          </cell>
          <cell r="G158">
            <v>4000</v>
          </cell>
          <cell r="H158">
            <v>1400</v>
          </cell>
          <cell r="I158">
            <v>3900000</v>
          </cell>
          <cell r="J158">
            <v>340000</v>
          </cell>
        </row>
        <row r="159">
          <cell r="B159" t="str">
            <v>150MHz Processor For 9500</v>
          </cell>
          <cell r="C159">
            <v>2109</v>
          </cell>
          <cell r="D159">
            <v>1600</v>
          </cell>
          <cell r="E159">
            <v>1900</v>
          </cell>
          <cell r="F159">
            <v>12700</v>
          </cell>
          <cell r="G159">
            <v>3800</v>
          </cell>
          <cell r="H159">
            <v>1300</v>
          </cell>
          <cell r="I159">
            <v>3700000</v>
          </cell>
          <cell r="J159">
            <v>320000</v>
          </cell>
        </row>
        <row r="160">
          <cell r="B160" t="str">
            <v>200MHz Processor For 9500</v>
          </cell>
          <cell r="C160">
            <v>1710</v>
          </cell>
          <cell r="D160">
            <v>1280</v>
          </cell>
          <cell r="E160">
            <v>1570</v>
          </cell>
          <cell r="F160">
            <v>10280</v>
          </cell>
          <cell r="G160">
            <v>3060</v>
          </cell>
          <cell r="H160">
            <v>1080</v>
          </cell>
          <cell r="I160">
            <v>3034000</v>
          </cell>
          <cell r="J160">
            <v>260700</v>
          </cell>
        </row>
        <row r="161">
          <cell r="B161" t="str">
            <v>200MHz Processor For 9600</v>
          </cell>
          <cell r="C161">
            <v>1710</v>
          </cell>
          <cell r="D161">
            <v>1280</v>
          </cell>
          <cell r="E161">
            <v>1570</v>
          </cell>
          <cell r="F161">
            <v>10280</v>
          </cell>
          <cell r="G161">
            <v>3060</v>
          </cell>
          <cell r="H161">
            <v>1080</v>
          </cell>
          <cell r="I161">
            <v>3034000</v>
          </cell>
          <cell r="J161">
            <v>260700</v>
          </cell>
        </row>
        <row r="162">
          <cell r="B162" t="str">
            <v>233MHz Processor For 9600</v>
          </cell>
          <cell r="C162">
            <v>1819</v>
          </cell>
          <cell r="D162">
            <v>1360</v>
          </cell>
          <cell r="E162">
            <v>1670</v>
          </cell>
          <cell r="F162">
            <v>10930</v>
          </cell>
          <cell r="G162">
            <v>3260</v>
          </cell>
          <cell r="H162">
            <v>1150</v>
          </cell>
          <cell r="I162">
            <v>3227000</v>
          </cell>
          <cell r="J162">
            <v>277300</v>
          </cell>
        </row>
        <row r="163">
          <cell r="B163" t="str">
            <v>300MHz Processor For 9600</v>
          </cell>
          <cell r="C163">
            <v>1426</v>
          </cell>
          <cell r="D163">
            <v>1070</v>
          </cell>
          <cell r="E163">
            <v>1310</v>
          </cell>
          <cell r="F163">
            <v>8570</v>
          </cell>
          <cell r="G163">
            <v>2560</v>
          </cell>
          <cell r="H163">
            <v>900</v>
          </cell>
          <cell r="I163">
            <v>2530000</v>
          </cell>
          <cell r="J163">
            <v>217400</v>
          </cell>
        </row>
        <row r="164">
          <cell r="B164" t="str">
            <v>PowerMac Floppy</v>
          </cell>
          <cell r="C164">
            <v>140</v>
          </cell>
          <cell r="D164">
            <v>110</v>
          </cell>
          <cell r="E164">
            <v>130</v>
          </cell>
          <cell r="F164">
            <v>840</v>
          </cell>
          <cell r="G164">
            <v>250</v>
          </cell>
          <cell r="H164">
            <v>90</v>
          </cell>
          <cell r="I164">
            <v>248000</v>
          </cell>
          <cell r="J164">
            <v>21300</v>
          </cell>
        </row>
        <row r="165">
          <cell r="B165" t="str">
            <v>Power Supply 9500</v>
          </cell>
          <cell r="C165">
            <v>229</v>
          </cell>
          <cell r="D165">
            <v>170</v>
          </cell>
          <cell r="E165">
            <v>210</v>
          </cell>
          <cell r="F165">
            <v>1380</v>
          </cell>
          <cell r="G165">
            <v>410</v>
          </cell>
          <cell r="H165">
            <v>150</v>
          </cell>
          <cell r="I165">
            <v>406000</v>
          </cell>
          <cell r="J165">
            <v>34900</v>
          </cell>
        </row>
        <row r="166">
          <cell r="B166" t="str">
            <v>Power Supply 9600</v>
          </cell>
          <cell r="C166">
            <v>489</v>
          </cell>
          <cell r="D166">
            <v>370</v>
          </cell>
          <cell r="E166">
            <v>450</v>
          </cell>
          <cell r="F166">
            <v>2940</v>
          </cell>
          <cell r="G166">
            <v>880</v>
          </cell>
          <cell r="H166">
            <v>310</v>
          </cell>
          <cell r="I166">
            <v>868000</v>
          </cell>
          <cell r="J166">
            <v>74500</v>
          </cell>
        </row>
        <row r="167">
          <cell r="B167" t="str">
            <v>Power Supply AMP</v>
          </cell>
          <cell r="C167">
            <v>618</v>
          </cell>
          <cell r="D167">
            <v>460</v>
          </cell>
          <cell r="E167">
            <v>570</v>
          </cell>
          <cell r="F167">
            <v>3710</v>
          </cell>
          <cell r="G167">
            <v>1110</v>
          </cell>
          <cell r="H167">
            <v>390</v>
          </cell>
          <cell r="I167">
            <v>1096000</v>
          </cell>
          <cell r="J167">
            <v>94200</v>
          </cell>
        </row>
        <row r="168">
          <cell r="B168" t="str">
            <v>Power Supply Quadra 950</v>
          </cell>
          <cell r="C168">
            <v>618</v>
          </cell>
          <cell r="D168">
            <v>460</v>
          </cell>
          <cell r="E168">
            <v>570</v>
          </cell>
          <cell r="F168">
            <v>3710</v>
          </cell>
          <cell r="G168">
            <v>1110</v>
          </cell>
          <cell r="H168">
            <v>390</v>
          </cell>
          <cell r="I168">
            <v>1096000</v>
          </cell>
          <cell r="J168">
            <v>94200</v>
          </cell>
        </row>
        <row r="169">
          <cell r="B169" t="str">
            <v>9500 Apple Video Card</v>
          </cell>
          <cell r="C169">
            <v>847</v>
          </cell>
          <cell r="D169">
            <v>640</v>
          </cell>
          <cell r="E169">
            <v>780</v>
          </cell>
          <cell r="F169">
            <v>5090</v>
          </cell>
          <cell r="G169">
            <v>1520</v>
          </cell>
          <cell r="H169">
            <v>540</v>
          </cell>
          <cell r="I169">
            <v>1503000</v>
          </cell>
          <cell r="J169">
            <v>129100</v>
          </cell>
        </row>
        <row r="170">
          <cell r="B170" t="str">
            <v>9600-200/233 Apple Video Card_x000B_</v>
          </cell>
          <cell r="C170">
            <v>1087</v>
          </cell>
          <cell r="D170">
            <v>820</v>
          </cell>
          <cell r="E170">
            <v>1000</v>
          </cell>
          <cell r="F170">
            <v>6530</v>
          </cell>
          <cell r="G170">
            <v>1950</v>
          </cell>
          <cell r="H170">
            <v>690</v>
          </cell>
          <cell r="I170">
            <v>1928000</v>
          </cell>
          <cell r="J170">
            <v>165700</v>
          </cell>
        </row>
        <row r="171">
          <cell r="B171" t="str">
            <v>9600-300 PCI Apple Video Card_x000B_</v>
          </cell>
          <cell r="C171">
            <v>2511</v>
          </cell>
          <cell r="D171">
            <v>1900</v>
          </cell>
          <cell r="E171">
            <v>2300</v>
          </cell>
          <cell r="F171">
            <v>15100</v>
          </cell>
          <cell r="G171">
            <v>4500</v>
          </cell>
          <cell r="H171">
            <v>1600</v>
          </cell>
          <cell r="I171">
            <v>4500000</v>
          </cell>
          <cell r="J171">
            <v>380000</v>
          </cell>
        </row>
        <row r="172">
          <cell r="B172" t="str">
            <v>AT EASE Software</v>
          </cell>
          <cell r="C172">
            <v>15</v>
          </cell>
          <cell r="D172">
            <v>10</v>
          </cell>
          <cell r="E172">
            <v>10</v>
          </cell>
          <cell r="F172">
            <v>90</v>
          </cell>
          <cell r="G172">
            <v>30</v>
          </cell>
          <cell r="H172">
            <v>10</v>
          </cell>
          <cell r="I172">
            <v>27000</v>
          </cell>
          <cell r="J172">
            <v>2300</v>
          </cell>
        </row>
        <row r="173">
          <cell r="B173" t="str">
            <v>Avid Media Server Client Kit</v>
          </cell>
          <cell r="C173">
            <v>11600</v>
          </cell>
          <cell r="D173">
            <v>8700</v>
          </cell>
          <cell r="E173">
            <v>10600</v>
          </cell>
          <cell r="F173">
            <v>69700</v>
          </cell>
          <cell r="G173">
            <v>20800</v>
          </cell>
          <cell r="H173">
            <v>7400</v>
          </cell>
          <cell r="I173">
            <v>20600000</v>
          </cell>
          <cell r="J173">
            <v>1770000</v>
          </cell>
        </row>
        <row r="174">
          <cell r="B174" t="str">
            <v>ATM Switch Module</v>
          </cell>
          <cell r="C174">
            <v>6900</v>
          </cell>
          <cell r="D174">
            <v>5200</v>
          </cell>
          <cell r="E174">
            <v>6300</v>
          </cell>
          <cell r="F174">
            <v>41500</v>
          </cell>
          <cell r="G174">
            <v>12400</v>
          </cell>
          <cell r="H174">
            <v>4400</v>
          </cell>
          <cell r="I174">
            <v>12200000</v>
          </cell>
          <cell r="J174">
            <v>1050000</v>
          </cell>
        </row>
        <row r="175">
          <cell r="B175" t="str">
            <v>Fore Systems ATM NuBus net card</v>
          </cell>
          <cell r="C175">
            <v>2300</v>
          </cell>
          <cell r="D175">
            <v>1700</v>
          </cell>
          <cell r="E175">
            <v>2100</v>
          </cell>
          <cell r="F175">
            <v>13800</v>
          </cell>
          <cell r="G175">
            <v>4100</v>
          </cell>
          <cell r="H175">
            <v>1500</v>
          </cell>
          <cell r="I175">
            <v>4100000</v>
          </cell>
          <cell r="J175">
            <v>350000</v>
          </cell>
        </row>
        <row r="176">
          <cell r="B176" t="str">
            <v>ATM Switch Chassis</v>
          </cell>
          <cell r="C176">
            <v>29900</v>
          </cell>
          <cell r="D176">
            <v>22400</v>
          </cell>
          <cell r="E176">
            <v>27400</v>
          </cell>
          <cell r="F176">
            <v>179700</v>
          </cell>
          <cell r="G176">
            <v>53600</v>
          </cell>
          <cell r="H176">
            <v>19000</v>
          </cell>
          <cell r="I176">
            <v>53000000</v>
          </cell>
          <cell r="J176">
            <v>4560000</v>
          </cell>
        </row>
        <row r="177">
          <cell r="B177" t="str">
            <v>ATM Switch Equipment (Includes 2 Switches)</v>
          </cell>
          <cell r="C177">
            <v>83574</v>
          </cell>
          <cell r="D177">
            <v>62700</v>
          </cell>
          <cell r="E177">
            <v>76600</v>
          </cell>
          <cell r="F177">
            <v>502300</v>
          </cell>
          <cell r="G177">
            <v>149800</v>
          </cell>
          <cell r="H177">
            <v>53000</v>
          </cell>
          <cell r="I177">
            <v>148300000</v>
          </cell>
          <cell r="J177">
            <v>12740000</v>
          </cell>
        </row>
        <row r="178">
          <cell r="B178" t="str">
            <v>Fore Systems ATM VME Boards / Support</v>
          </cell>
          <cell r="C178">
            <v>2800</v>
          </cell>
          <cell r="D178">
            <v>2100</v>
          </cell>
          <cell r="E178">
            <v>2600</v>
          </cell>
          <cell r="F178">
            <v>16800</v>
          </cell>
          <cell r="G178">
            <v>5000</v>
          </cell>
          <cell r="H178">
            <v>1800</v>
          </cell>
          <cell r="I178">
            <v>5000000</v>
          </cell>
          <cell r="J178">
            <v>430000</v>
          </cell>
        </row>
        <row r="179">
          <cell r="A179" t="str">
            <v>0010-00585-01</v>
          </cell>
          <cell r="B179" t="str">
            <v>Atto Express/PCI SCSI Accelerator (Dual)</v>
          </cell>
          <cell r="C179">
            <v>1215</v>
          </cell>
          <cell r="D179">
            <v>900</v>
          </cell>
          <cell r="E179">
            <v>1100</v>
          </cell>
          <cell r="F179">
            <v>7300</v>
          </cell>
          <cell r="G179">
            <v>2200</v>
          </cell>
          <cell r="H179">
            <v>800</v>
          </cell>
          <cell r="I179">
            <v>2200000</v>
          </cell>
          <cell r="J179">
            <v>190000</v>
          </cell>
        </row>
        <row r="180">
          <cell r="A180" t="str">
            <v>0010-00583-01</v>
          </cell>
          <cell r="B180" t="str">
            <v>Atto Express/PCI SCSI Accelerator</v>
          </cell>
          <cell r="C180">
            <v>520</v>
          </cell>
          <cell r="D180">
            <v>450</v>
          </cell>
          <cell r="E180">
            <v>550</v>
          </cell>
          <cell r="F180">
            <v>3580</v>
          </cell>
          <cell r="G180">
            <v>1070</v>
          </cell>
          <cell r="H180">
            <v>380</v>
          </cell>
          <cell r="I180">
            <v>1056000</v>
          </cell>
          <cell r="J180">
            <v>90700</v>
          </cell>
        </row>
        <row r="181">
          <cell r="A181" t="str">
            <v>0010-00587-01</v>
          </cell>
          <cell r="B181" t="str">
            <v>Atto Express/PCI SCSI Accelerator (Diff) - No G3 support</v>
          </cell>
          <cell r="C181">
            <v>700</v>
          </cell>
          <cell r="D181">
            <v>530</v>
          </cell>
          <cell r="E181">
            <v>640</v>
          </cell>
          <cell r="F181">
            <v>4210</v>
          </cell>
          <cell r="G181">
            <v>1250</v>
          </cell>
          <cell r="H181">
            <v>440</v>
          </cell>
          <cell r="I181">
            <v>1242000</v>
          </cell>
          <cell r="J181">
            <v>106700</v>
          </cell>
        </row>
        <row r="182">
          <cell r="B182" t="str">
            <v>Reworked SCSI II, Atto Board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</row>
        <row r="183">
          <cell r="A183" t="str">
            <v>0030-00032-01</v>
          </cell>
          <cell r="B183" t="str">
            <v>Atto SE4 SCSI Accelarator</v>
          </cell>
          <cell r="C183">
            <v>1345</v>
          </cell>
          <cell r="D183">
            <v>1010</v>
          </cell>
          <cell r="E183">
            <v>1230</v>
          </cell>
          <cell r="F183">
            <v>8080</v>
          </cell>
          <cell r="G183">
            <v>2410</v>
          </cell>
          <cell r="H183">
            <v>850</v>
          </cell>
          <cell r="I183">
            <v>2386000</v>
          </cell>
          <cell r="J183">
            <v>205000</v>
          </cell>
        </row>
        <row r="184">
          <cell r="A184" t="str">
            <v>0010-03395-01</v>
          </cell>
          <cell r="B184" t="str">
            <v>Sub ATTO Diff EPCI For ATTO SE EPCI (Dual)</v>
          </cell>
          <cell r="C184">
            <v>50</v>
          </cell>
          <cell r="D184">
            <v>40</v>
          </cell>
          <cell r="E184">
            <v>50</v>
          </cell>
          <cell r="F184">
            <v>300</v>
          </cell>
          <cell r="G184">
            <v>90</v>
          </cell>
          <cell r="H184">
            <v>30</v>
          </cell>
          <cell r="I184">
            <v>89000</v>
          </cell>
          <cell r="J184">
            <v>7600</v>
          </cell>
        </row>
        <row r="185">
          <cell r="A185" t="str">
            <v>0120-00020-02</v>
          </cell>
          <cell r="B185" t="str">
            <v xml:space="preserve">Audio Interface 8x8  (inc. Amadeus to 8x8 cable ONLY) </v>
          </cell>
          <cell r="C185">
            <v>3200</v>
          </cell>
          <cell r="D185">
            <v>2400</v>
          </cell>
          <cell r="E185">
            <v>2900</v>
          </cell>
          <cell r="F185">
            <v>19200</v>
          </cell>
          <cell r="G185">
            <v>5700</v>
          </cell>
          <cell r="H185">
            <v>2000</v>
          </cell>
          <cell r="I185">
            <v>5700000</v>
          </cell>
          <cell r="J185">
            <v>490000</v>
          </cell>
        </row>
        <row r="186">
          <cell r="A186" t="str">
            <v>0120-00020-01</v>
          </cell>
          <cell r="B186" t="str">
            <v>Audio Interface 8x8 + cables (current 4x4 owners only)</v>
          </cell>
          <cell r="C186">
            <v>3200</v>
          </cell>
          <cell r="D186">
            <v>2400</v>
          </cell>
          <cell r="E186">
            <v>2900</v>
          </cell>
          <cell r="F186">
            <v>19200</v>
          </cell>
          <cell r="G186">
            <v>5700</v>
          </cell>
          <cell r="H186">
            <v>2000</v>
          </cell>
          <cell r="I186">
            <v>5700000</v>
          </cell>
          <cell r="J186">
            <v>490000</v>
          </cell>
        </row>
        <row r="187">
          <cell r="A187" t="str">
            <v>0100-00979-01</v>
          </cell>
          <cell r="B187" t="str">
            <v>24 video editing tracks - MCO/MST only</v>
          </cell>
          <cell r="C187">
            <v>995</v>
          </cell>
          <cell r="D187">
            <v>700</v>
          </cell>
          <cell r="E187">
            <v>900</v>
          </cell>
          <cell r="F187">
            <v>6000</v>
          </cell>
          <cell r="G187">
            <v>1800</v>
          </cell>
          <cell r="H187">
            <v>600</v>
          </cell>
          <cell r="I187">
            <v>1800000</v>
          </cell>
          <cell r="J187">
            <v>150000</v>
          </cell>
        </row>
        <row r="188">
          <cell r="A188" t="str">
            <v>0100-00110-01</v>
          </cell>
          <cell r="B188" t="str">
            <v>24 virtual tracks of audio</v>
          </cell>
          <cell r="C188">
            <v>2150</v>
          </cell>
          <cell r="D188">
            <v>1600</v>
          </cell>
          <cell r="E188">
            <v>2000</v>
          </cell>
          <cell r="F188">
            <v>12900</v>
          </cell>
          <cell r="G188">
            <v>3900</v>
          </cell>
          <cell r="H188">
            <v>1400</v>
          </cell>
          <cell r="I188">
            <v>3800000</v>
          </cell>
          <cell r="J188">
            <v>330000</v>
          </cell>
        </row>
        <row r="189">
          <cell r="B189" t="str">
            <v>ADR/Loop Record Tool</v>
          </cell>
          <cell r="C189">
            <v>3995</v>
          </cell>
          <cell r="D189">
            <v>3000</v>
          </cell>
          <cell r="E189">
            <v>3700</v>
          </cell>
          <cell r="F189">
            <v>24000</v>
          </cell>
          <cell r="G189">
            <v>7200</v>
          </cell>
          <cell r="H189">
            <v>2500</v>
          </cell>
          <cell r="I189">
            <v>7100000</v>
          </cell>
          <cell r="J189">
            <v>610000</v>
          </cell>
        </row>
        <row r="190">
          <cell r="B190" t="str">
            <v>Time Compression/Expansion &amp; Pitch Shift Tool</v>
          </cell>
          <cell r="C190">
            <v>900</v>
          </cell>
          <cell r="D190">
            <v>680</v>
          </cell>
          <cell r="E190">
            <v>820</v>
          </cell>
          <cell r="F190">
            <v>5410</v>
          </cell>
          <cell r="G190">
            <v>1610</v>
          </cell>
          <cell r="H190">
            <v>570</v>
          </cell>
          <cell r="I190">
            <v>1597000</v>
          </cell>
          <cell r="J190">
            <v>137200</v>
          </cell>
        </row>
        <row r="191">
          <cell r="B191" t="str">
            <v>Realtime Clip-based 4 Band EQ Tool</v>
          </cell>
          <cell r="C191">
            <v>1625</v>
          </cell>
          <cell r="D191">
            <v>1220</v>
          </cell>
          <cell r="E191">
            <v>1490</v>
          </cell>
          <cell r="F191">
            <v>9770</v>
          </cell>
          <cell r="G191">
            <v>2910</v>
          </cell>
          <cell r="H191">
            <v>1030</v>
          </cell>
          <cell r="I191">
            <v>2883000</v>
          </cell>
          <cell r="J191">
            <v>247700</v>
          </cell>
        </row>
        <row r="192">
          <cell r="B192" t="str">
            <v>AVR12  Image Quality Software</v>
          </cell>
          <cell r="C192">
            <v>4995</v>
          </cell>
          <cell r="D192">
            <v>3700</v>
          </cell>
          <cell r="E192">
            <v>4600</v>
          </cell>
          <cell r="F192">
            <v>30000</v>
          </cell>
          <cell r="G192">
            <v>9000</v>
          </cell>
          <cell r="H192">
            <v>3200</v>
          </cell>
          <cell r="I192">
            <v>8900000</v>
          </cell>
          <cell r="J192">
            <v>760000</v>
          </cell>
        </row>
        <row r="193">
          <cell r="B193" t="str">
            <v>AVR3 Image Quality Software</v>
          </cell>
          <cell r="C193">
            <v>4995</v>
          </cell>
          <cell r="D193">
            <v>3700</v>
          </cell>
          <cell r="E193">
            <v>4600</v>
          </cell>
          <cell r="F193">
            <v>30000</v>
          </cell>
          <cell r="G193">
            <v>9000</v>
          </cell>
          <cell r="H193">
            <v>3200</v>
          </cell>
          <cell r="I193">
            <v>8900000</v>
          </cell>
          <cell r="J193">
            <v>760000</v>
          </cell>
        </row>
        <row r="194">
          <cell r="A194" t="str">
            <v>0100-00404-01</v>
          </cell>
          <cell r="B194" t="str">
            <v>AVR3S Image Quality Software</v>
          </cell>
          <cell r="C194">
            <v>4995</v>
          </cell>
          <cell r="D194">
            <v>3700</v>
          </cell>
          <cell r="E194">
            <v>4600</v>
          </cell>
          <cell r="F194">
            <v>30000</v>
          </cell>
          <cell r="G194">
            <v>9000</v>
          </cell>
          <cell r="H194">
            <v>3200</v>
          </cell>
          <cell r="I194">
            <v>8900000</v>
          </cell>
          <cell r="J194">
            <v>760000</v>
          </cell>
        </row>
        <row r="195">
          <cell r="B195" t="str">
            <v>AVR4 Image Quality Software (requires ATTO Board)</v>
          </cell>
          <cell r="C195">
            <v>4995</v>
          </cell>
          <cell r="D195">
            <v>3700</v>
          </cell>
          <cell r="E195">
            <v>4600</v>
          </cell>
          <cell r="F195">
            <v>30000</v>
          </cell>
          <cell r="G195">
            <v>9000</v>
          </cell>
          <cell r="H195">
            <v>3200</v>
          </cell>
          <cell r="I195">
            <v>8900000</v>
          </cell>
          <cell r="J195">
            <v>760000</v>
          </cell>
        </row>
        <row r="196">
          <cell r="A196" t="str">
            <v>0100-00405-01</v>
          </cell>
          <cell r="B196" t="str">
            <v>AVR4S, AVR4M  Image Quality Software</v>
          </cell>
          <cell r="C196">
            <v>4995</v>
          </cell>
          <cell r="D196">
            <v>3700</v>
          </cell>
          <cell r="E196">
            <v>4600</v>
          </cell>
          <cell r="F196">
            <v>30000</v>
          </cell>
          <cell r="G196">
            <v>9000</v>
          </cell>
          <cell r="H196">
            <v>3200</v>
          </cell>
          <cell r="I196">
            <v>8900000</v>
          </cell>
          <cell r="J196">
            <v>760000</v>
          </cell>
        </row>
        <row r="197">
          <cell r="B197" t="str">
            <v>AVR5 Image Quality Software</v>
          </cell>
          <cell r="C197">
            <v>4995</v>
          </cell>
          <cell r="D197">
            <v>3700</v>
          </cell>
          <cell r="E197">
            <v>4600</v>
          </cell>
          <cell r="F197">
            <v>30000</v>
          </cell>
          <cell r="G197">
            <v>9000</v>
          </cell>
          <cell r="H197">
            <v>3200</v>
          </cell>
          <cell r="I197">
            <v>8900000</v>
          </cell>
          <cell r="J197">
            <v>760000</v>
          </cell>
        </row>
        <row r="198">
          <cell r="A198" t="str">
            <v>0100-00406-01</v>
          </cell>
          <cell r="B198" t="str">
            <v>AVR6S, AVR6M  Image Quality Software</v>
          </cell>
          <cell r="C198">
            <v>4995</v>
          </cell>
          <cell r="D198">
            <v>3700</v>
          </cell>
          <cell r="E198">
            <v>4600</v>
          </cell>
          <cell r="F198">
            <v>30000</v>
          </cell>
          <cell r="G198">
            <v>9000</v>
          </cell>
          <cell r="H198">
            <v>3200</v>
          </cell>
          <cell r="I198">
            <v>8900000</v>
          </cell>
          <cell r="J198">
            <v>760000</v>
          </cell>
        </row>
        <row r="199">
          <cell r="B199" t="str">
            <v>AVR70 Image Quality Software</v>
          </cell>
          <cell r="C199">
            <v>4995</v>
          </cell>
          <cell r="D199">
            <v>3700</v>
          </cell>
          <cell r="E199">
            <v>4600</v>
          </cell>
          <cell r="F199">
            <v>30000</v>
          </cell>
          <cell r="G199">
            <v>9000</v>
          </cell>
          <cell r="H199">
            <v>3200</v>
          </cell>
          <cell r="I199">
            <v>8900000</v>
          </cell>
          <cell r="J199">
            <v>760000</v>
          </cell>
        </row>
        <row r="200">
          <cell r="B200" t="str">
            <v>AVR71 Image Quality Software</v>
          </cell>
          <cell r="C200">
            <v>4995</v>
          </cell>
          <cell r="D200">
            <v>3700</v>
          </cell>
          <cell r="E200">
            <v>4600</v>
          </cell>
          <cell r="F200">
            <v>30000</v>
          </cell>
          <cell r="G200">
            <v>9000</v>
          </cell>
          <cell r="H200">
            <v>3200</v>
          </cell>
          <cell r="I200">
            <v>8900000</v>
          </cell>
          <cell r="J200">
            <v>760000</v>
          </cell>
        </row>
        <row r="201">
          <cell r="A201" t="str">
            <v>0100-00410-01</v>
          </cell>
          <cell r="B201" t="str">
            <v>AVR75 Image Quality Software</v>
          </cell>
          <cell r="C201">
            <v>4995</v>
          </cell>
          <cell r="D201">
            <v>3700</v>
          </cell>
          <cell r="E201">
            <v>4600</v>
          </cell>
          <cell r="F201">
            <v>30000</v>
          </cell>
          <cell r="G201">
            <v>9000</v>
          </cell>
          <cell r="H201">
            <v>3200</v>
          </cell>
          <cell r="I201">
            <v>8900000</v>
          </cell>
          <cell r="J201">
            <v>760000</v>
          </cell>
        </row>
        <row r="202">
          <cell r="A202" t="str">
            <v>0100-00704-01</v>
          </cell>
          <cell r="B202" t="str">
            <v>AVR77 Image Quality Software</v>
          </cell>
          <cell r="C202">
            <v>4995</v>
          </cell>
          <cell r="D202">
            <v>3700</v>
          </cell>
          <cell r="E202">
            <v>4600</v>
          </cell>
          <cell r="F202">
            <v>30000</v>
          </cell>
          <cell r="G202">
            <v>9000</v>
          </cell>
          <cell r="H202">
            <v>3200</v>
          </cell>
          <cell r="I202">
            <v>8900000</v>
          </cell>
          <cell r="J202">
            <v>760000</v>
          </cell>
        </row>
        <row r="203">
          <cell r="A203" t="str">
            <v>0100-00407-01</v>
          </cell>
          <cell r="B203" t="str">
            <v>AVR8S Image Quality Software</v>
          </cell>
          <cell r="C203">
            <v>4995</v>
          </cell>
          <cell r="D203">
            <v>3700</v>
          </cell>
          <cell r="E203">
            <v>4600</v>
          </cell>
          <cell r="F203">
            <v>30000</v>
          </cell>
          <cell r="G203">
            <v>9000</v>
          </cell>
          <cell r="H203">
            <v>3200</v>
          </cell>
          <cell r="I203">
            <v>8900000</v>
          </cell>
          <cell r="J203">
            <v>760000</v>
          </cell>
        </row>
        <row r="204">
          <cell r="A204" t="str">
            <v>0100-00726-01</v>
          </cell>
          <cell r="B204" t="str">
            <v>AVR9S Image Quality Software</v>
          </cell>
          <cell r="C204">
            <v>4995</v>
          </cell>
          <cell r="D204">
            <v>3700</v>
          </cell>
          <cell r="E204">
            <v>4600</v>
          </cell>
          <cell r="F204">
            <v>30000</v>
          </cell>
          <cell r="G204">
            <v>9000</v>
          </cell>
          <cell r="H204">
            <v>3200</v>
          </cell>
          <cell r="I204">
            <v>8900000</v>
          </cell>
          <cell r="J204">
            <v>760000</v>
          </cell>
        </row>
        <row r="205">
          <cell r="B205" t="str">
            <v>As-Run Log Software</v>
          </cell>
          <cell r="C205">
            <v>5650</v>
          </cell>
          <cell r="D205">
            <v>4200</v>
          </cell>
          <cell r="E205">
            <v>5200</v>
          </cell>
          <cell r="F205">
            <v>34000</v>
          </cell>
          <cell r="G205">
            <v>10100</v>
          </cell>
          <cell r="H205">
            <v>3600</v>
          </cell>
          <cell r="I205">
            <v>10000000</v>
          </cell>
          <cell r="J205">
            <v>860000</v>
          </cell>
        </row>
        <row r="206">
          <cell r="B206" t="str">
            <v>News/Automation Control SW (Playlist management &amp; System control)</v>
          </cell>
          <cell r="C206">
            <v>13700</v>
          </cell>
          <cell r="D206">
            <v>10300</v>
          </cell>
          <cell r="E206">
            <v>12600</v>
          </cell>
          <cell r="F206">
            <v>82300</v>
          </cell>
          <cell r="G206">
            <v>24600</v>
          </cell>
          <cell r="H206">
            <v>8700</v>
          </cell>
          <cell r="I206">
            <v>24300000</v>
          </cell>
          <cell r="J206">
            <v>2090000</v>
          </cell>
        </row>
        <row r="207">
          <cell r="B207" t="str">
            <v>BC Rendered Video Effects Package (Newscutter &amp; NC-AP Combo)</v>
          </cell>
          <cell r="C207">
            <v>5750</v>
          </cell>
          <cell r="D207">
            <v>4300</v>
          </cell>
          <cell r="E207">
            <v>5300</v>
          </cell>
          <cell r="F207">
            <v>34600</v>
          </cell>
          <cell r="G207">
            <v>10300</v>
          </cell>
          <cell r="H207">
            <v>3600</v>
          </cell>
          <cell r="I207">
            <v>10200000</v>
          </cell>
          <cell r="J207">
            <v>880000</v>
          </cell>
        </row>
        <row r="208">
          <cell r="B208" t="str">
            <v>News/Traffic Playlist Software</v>
          </cell>
          <cell r="C208">
            <v>5650</v>
          </cell>
          <cell r="D208">
            <v>4200</v>
          </cell>
          <cell r="E208">
            <v>5200</v>
          </cell>
          <cell r="F208">
            <v>34000</v>
          </cell>
          <cell r="G208">
            <v>10100</v>
          </cell>
          <cell r="H208">
            <v>3600</v>
          </cell>
          <cell r="I208">
            <v>10000000</v>
          </cell>
          <cell r="J208">
            <v>860000</v>
          </cell>
        </row>
        <row r="209">
          <cell r="B209" t="str">
            <v>44.1 KHz CD Audio &amp; 24 Virtual tracks</v>
          </cell>
          <cell r="C209">
            <v>4300</v>
          </cell>
          <cell r="D209">
            <v>3200</v>
          </cell>
          <cell r="E209">
            <v>3900</v>
          </cell>
          <cell r="F209">
            <v>25800</v>
          </cell>
          <cell r="G209">
            <v>7700</v>
          </cell>
          <cell r="H209">
            <v>2700</v>
          </cell>
          <cell r="I209">
            <v>7600000</v>
          </cell>
          <cell r="J209">
            <v>660000</v>
          </cell>
        </row>
        <row r="210">
          <cell r="B210" t="str">
            <v>44.1KHz CD Audio SW option ONLY</v>
          </cell>
          <cell r="C210">
            <v>2150</v>
          </cell>
          <cell r="D210">
            <v>1600</v>
          </cell>
          <cell r="E210">
            <v>2000</v>
          </cell>
          <cell r="F210">
            <v>12900</v>
          </cell>
          <cell r="G210">
            <v>3900</v>
          </cell>
          <cell r="H210">
            <v>1400</v>
          </cell>
          <cell r="I210">
            <v>3800000</v>
          </cell>
          <cell r="J210">
            <v>330000</v>
          </cell>
        </row>
        <row r="211">
          <cell r="A211" t="str">
            <v>0010-00600-01</v>
          </cell>
          <cell r="B211" t="str">
            <v>CD-ROM Finishing Package (AVR 8s, 9s)</v>
          </cell>
          <cell r="C211">
            <v>4995</v>
          </cell>
          <cell r="D211">
            <v>3700</v>
          </cell>
          <cell r="E211">
            <v>4600</v>
          </cell>
          <cell r="F211">
            <v>30000</v>
          </cell>
          <cell r="G211">
            <v>9000</v>
          </cell>
          <cell r="H211">
            <v>3200</v>
          </cell>
          <cell r="I211">
            <v>8900000</v>
          </cell>
          <cell r="J211">
            <v>760000</v>
          </cell>
        </row>
        <row r="212">
          <cell r="A212" t="str">
            <v>0010-00598-01</v>
          </cell>
          <cell r="B212" t="str">
            <v>Delux Finishing Package (AVR9s, 77)</v>
          </cell>
          <cell r="C212">
            <v>5995</v>
          </cell>
          <cell r="D212">
            <v>4500</v>
          </cell>
          <cell r="E212">
            <v>5500</v>
          </cell>
          <cell r="F212">
            <v>36000</v>
          </cell>
          <cell r="G212">
            <v>10700</v>
          </cell>
          <cell r="H212">
            <v>3800</v>
          </cell>
          <cell r="I212">
            <v>10600000</v>
          </cell>
          <cell r="J212">
            <v>910000</v>
          </cell>
        </row>
        <row r="213">
          <cell r="A213" t="str">
            <v>0100-00125-01</v>
          </cell>
          <cell r="B213" t="str">
            <v>24FPS editing - see AVID-FILM-BNDL for extra film opt's</v>
          </cell>
          <cell r="C213">
            <v>5950</v>
          </cell>
          <cell r="D213">
            <v>4500</v>
          </cell>
          <cell r="E213">
            <v>5500</v>
          </cell>
          <cell r="F213">
            <v>35800</v>
          </cell>
          <cell r="G213">
            <v>10700</v>
          </cell>
          <cell r="H213">
            <v>3800</v>
          </cell>
          <cell r="I213">
            <v>10600000</v>
          </cell>
          <cell r="J213">
            <v>910000</v>
          </cell>
        </row>
        <row r="214">
          <cell r="A214" t="str">
            <v>0010-00790-01</v>
          </cell>
          <cell r="B214" t="str">
            <v>Film Bndl- 24fps, Script based editing, MatchBack &amp; AutosequenceÂ - opt. on 4K,1K, MCO</v>
          </cell>
          <cell r="C214">
            <v>12500</v>
          </cell>
          <cell r="D214">
            <v>9400</v>
          </cell>
          <cell r="E214">
            <v>11500</v>
          </cell>
          <cell r="F214">
            <v>75100</v>
          </cell>
          <cell r="G214">
            <v>22400</v>
          </cell>
          <cell r="H214">
            <v>7900</v>
          </cell>
          <cell r="I214">
            <v>22200000</v>
          </cell>
          <cell r="J214">
            <v>1910000</v>
          </cell>
        </row>
        <row r="215">
          <cell r="B215" t="str">
            <v>Avid 16 Out/ 8 In GPI Controller for Broadcast</v>
          </cell>
          <cell r="C215">
            <v>5300</v>
          </cell>
          <cell r="D215">
            <v>4000</v>
          </cell>
          <cell r="E215">
            <v>4900</v>
          </cell>
          <cell r="F215">
            <v>31900</v>
          </cell>
          <cell r="G215">
            <v>9500</v>
          </cell>
          <cell r="H215">
            <v>3400</v>
          </cell>
          <cell r="I215">
            <v>9400000</v>
          </cell>
          <cell r="J215">
            <v>810000</v>
          </cell>
        </row>
        <row r="216">
          <cell r="A216" t="str">
            <v>0100-00120-01</v>
          </cell>
          <cell r="B216" t="str">
            <v>Avid Multicamera Grouping and AutoSyncÂ software</v>
          </cell>
          <cell r="C216">
            <v>4750</v>
          </cell>
          <cell r="D216">
            <v>3600</v>
          </cell>
          <cell r="E216">
            <v>4400</v>
          </cell>
          <cell r="F216">
            <v>28500</v>
          </cell>
          <cell r="G216">
            <v>8500</v>
          </cell>
          <cell r="H216">
            <v>3000</v>
          </cell>
          <cell r="I216">
            <v>8400000</v>
          </cell>
          <cell r="J216">
            <v>720000</v>
          </cell>
        </row>
        <row r="217">
          <cell r="A217" t="str">
            <v>0100-00161-01</v>
          </cell>
          <cell r="B217" t="str">
            <v>Avid Matchback option</v>
          </cell>
          <cell r="C217">
            <v>5950</v>
          </cell>
          <cell r="D217">
            <v>4500</v>
          </cell>
          <cell r="E217">
            <v>5500</v>
          </cell>
          <cell r="F217">
            <v>35800</v>
          </cell>
          <cell r="G217">
            <v>10700</v>
          </cell>
          <cell r="H217">
            <v>3800</v>
          </cell>
          <cell r="I217">
            <v>10600000</v>
          </cell>
          <cell r="J217">
            <v>910000</v>
          </cell>
        </row>
        <row r="218">
          <cell r="A218" t="str">
            <v>0010-00830-02</v>
          </cell>
          <cell r="B218" t="str">
            <v>MC/FC/XPM  translated interface - German</v>
          </cell>
          <cell r="C218">
            <v>695</v>
          </cell>
          <cell r="D218">
            <v>520</v>
          </cell>
          <cell r="E218">
            <v>640</v>
          </cell>
          <cell r="F218">
            <v>4180</v>
          </cell>
          <cell r="G218">
            <v>1250</v>
          </cell>
          <cell r="H218">
            <v>440</v>
          </cell>
          <cell r="I218">
            <v>1233000</v>
          </cell>
          <cell r="J218">
            <v>106000</v>
          </cell>
        </row>
        <row r="219">
          <cell r="A219" t="str">
            <v>0010-00830-01</v>
          </cell>
          <cell r="B219" t="str">
            <v>MC/FC/XPM  translated interface -  French</v>
          </cell>
          <cell r="C219">
            <v>695</v>
          </cell>
          <cell r="D219">
            <v>520</v>
          </cell>
          <cell r="E219">
            <v>640</v>
          </cell>
          <cell r="F219">
            <v>4180</v>
          </cell>
          <cell r="G219">
            <v>1250</v>
          </cell>
          <cell r="H219">
            <v>440</v>
          </cell>
          <cell r="I219">
            <v>1233000</v>
          </cell>
          <cell r="J219">
            <v>106000</v>
          </cell>
        </row>
        <row r="220">
          <cell r="A220" t="str">
            <v>0010-00830-04</v>
          </cell>
          <cell r="B220" t="str">
            <v>MC/FC/XPM  translated interface -  Italian</v>
          </cell>
          <cell r="C220">
            <v>695</v>
          </cell>
          <cell r="D220">
            <v>520</v>
          </cell>
          <cell r="E220">
            <v>640</v>
          </cell>
          <cell r="F220">
            <v>4180</v>
          </cell>
          <cell r="G220">
            <v>1250</v>
          </cell>
          <cell r="H220">
            <v>440</v>
          </cell>
          <cell r="I220">
            <v>1233000</v>
          </cell>
          <cell r="J220">
            <v>106000</v>
          </cell>
        </row>
        <row r="221">
          <cell r="B221" t="str">
            <v xml:space="preserve">MC/FC/XPM  translated interface - Spanish </v>
          </cell>
          <cell r="C221">
            <v>695</v>
          </cell>
          <cell r="D221">
            <v>520</v>
          </cell>
          <cell r="E221">
            <v>640</v>
          </cell>
          <cell r="F221">
            <v>4180</v>
          </cell>
          <cell r="G221">
            <v>1250</v>
          </cell>
          <cell r="H221">
            <v>440</v>
          </cell>
          <cell r="I221">
            <v>1233000</v>
          </cell>
          <cell r="J221">
            <v>106000</v>
          </cell>
        </row>
        <row r="222">
          <cell r="B222" t="str">
            <v>Avid Matchback option for  MCXM ONLY</v>
          </cell>
          <cell r="C222">
            <v>3000</v>
          </cell>
          <cell r="D222">
            <v>2300</v>
          </cell>
          <cell r="E222">
            <v>2700</v>
          </cell>
          <cell r="F222">
            <v>18000</v>
          </cell>
          <cell r="G222">
            <v>5400</v>
          </cell>
          <cell r="H222">
            <v>1900</v>
          </cell>
          <cell r="I222">
            <v>5300000</v>
          </cell>
          <cell r="J222">
            <v>460000</v>
          </cell>
        </row>
        <row r="223">
          <cell r="B223" t="str">
            <v xml:space="preserve">Broadcast MediaRecorder Software Only </v>
          </cell>
          <cell r="C223">
            <v>7979.5054499999997</v>
          </cell>
          <cell r="D223">
            <v>6000</v>
          </cell>
          <cell r="E223">
            <v>7300</v>
          </cell>
          <cell r="F223">
            <v>48000</v>
          </cell>
          <cell r="G223">
            <v>14300</v>
          </cell>
          <cell r="H223">
            <v>5100</v>
          </cell>
          <cell r="I223">
            <v>14200000</v>
          </cell>
          <cell r="J223">
            <v>1220000</v>
          </cell>
        </row>
        <row r="224">
          <cell r="B224" t="str">
            <v xml:space="preserve">Avid Media Recorder TeleCine Software Only </v>
          </cell>
          <cell r="C224">
            <v>7398.5163599999996</v>
          </cell>
          <cell r="D224">
            <v>5500</v>
          </cell>
          <cell r="E224">
            <v>6800</v>
          </cell>
          <cell r="F224">
            <v>44500</v>
          </cell>
          <cell r="G224">
            <v>13300</v>
          </cell>
          <cell r="H224">
            <v>4700</v>
          </cell>
          <cell r="I224">
            <v>13100000</v>
          </cell>
          <cell r="J224">
            <v>1130000</v>
          </cell>
        </row>
        <row r="225">
          <cell r="B225" t="str">
            <v>4 additional Video Tracks</v>
          </cell>
          <cell r="C225">
            <v>4850</v>
          </cell>
          <cell r="D225">
            <v>3600</v>
          </cell>
          <cell r="E225">
            <v>4400</v>
          </cell>
          <cell r="F225">
            <v>29100</v>
          </cell>
          <cell r="G225">
            <v>8700</v>
          </cell>
          <cell r="H225">
            <v>3100</v>
          </cell>
          <cell r="I225">
            <v>8600000</v>
          </cell>
          <cell r="J225">
            <v>740000</v>
          </cell>
        </row>
        <row r="226">
          <cell r="A226" t="str">
            <v>0100-00402-01</v>
          </cell>
          <cell r="B226" t="str">
            <v>Avid Multicamera Play</v>
          </cell>
          <cell r="C226">
            <v>6000</v>
          </cell>
          <cell r="D226">
            <v>4500</v>
          </cell>
          <cell r="E226">
            <v>5500</v>
          </cell>
          <cell r="F226">
            <v>36100</v>
          </cell>
          <cell r="G226">
            <v>10800</v>
          </cell>
          <cell r="H226">
            <v>3800</v>
          </cell>
          <cell r="I226">
            <v>10600000</v>
          </cell>
          <cell r="J226">
            <v>910000</v>
          </cell>
        </row>
        <row r="227">
          <cell r="A227" t="str">
            <v>0010-00855-02</v>
          </cell>
          <cell r="B227" t="str">
            <v>AvidNet peer-peer software option</v>
          </cell>
          <cell r="C227">
            <v>1100</v>
          </cell>
          <cell r="D227">
            <v>830</v>
          </cell>
          <cell r="E227">
            <v>1010</v>
          </cell>
          <cell r="F227">
            <v>6610</v>
          </cell>
          <cell r="G227">
            <v>1970</v>
          </cell>
          <cell r="H227">
            <v>700</v>
          </cell>
          <cell r="I227">
            <v>1952000</v>
          </cell>
          <cell r="J227">
            <v>167700</v>
          </cell>
        </row>
        <row r="228">
          <cell r="A228" t="str">
            <v>0100-00950-01</v>
          </cell>
          <cell r="B228" t="str">
            <v>2s/m,3m,4s/m,6s/m,8s,9s, Multi Grouping (opt. on MC1K)</v>
          </cell>
          <cell r="C228">
            <v>12500</v>
          </cell>
          <cell r="D228">
            <v>9400</v>
          </cell>
          <cell r="E228">
            <v>11500</v>
          </cell>
          <cell r="F228">
            <v>75100</v>
          </cell>
          <cell r="G228">
            <v>22400</v>
          </cell>
          <cell r="H228">
            <v>7900</v>
          </cell>
          <cell r="I228">
            <v>22200000</v>
          </cell>
          <cell r="J228">
            <v>1910000</v>
          </cell>
        </row>
        <row r="229">
          <cell r="A229" t="str">
            <v>0010-00599-01</v>
          </cell>
          <cell r="B229" t="str">
            <v>Online Finishing Package (AVR 75, 77)</v>
          </cell>
          <cell r="C229">
            <v>4995</v>
          </cell>
          <cell r="D229">
            <v>3700</v>
          </cell>
          <cell r="E229">
            <v>4600</v>
          </cell>
          <cell r="F229">
            <v>30000</v>
          </cell>
          <cell r="G229">
            <v>9000</v>
          </cell>
          <cell r="H229">
            <v>3200</v>
          </cell>
          <cell r="I229">
            <v>8900000</v>
          </cell>
          <cell r="J229">
            <v>760000</v>
          </cell>
        </row>
        <row r="230">
          <cell r="A230" t="str">
            <v>0100-00720-01</v>
          </cell>
          <cell r="B230" t="str">
            <v>Avid Script Integration software option</v>
          </cell>
          <cell r="C230">
            <v>5000</v>
          </cell>
          <cell r="D230">
            <v>3800</v>
          </cell>
          <cell r="E230">
            <v>4600</v>
          </cell>
          <cell r="F230">
            <v>30100</v>
          </cell>
          <cell r="G230">
            <v>9000</v>
          </cell>
          <cell r="H230">
            <v>3200</v>
          </cell>
          <cell r="I230">
            <v>8900000</v>
          </cell>
          <cell r="J230">
            <v>760000</v>
          </cell>
        </row>
        <row r="231">
          <cell r="A231" t="str">
            <v>0010-00683-01</v>
          </cell>
          <cell r="B231" t="str">
            <v>AvidDroidÂ kit (inc. PSU, Labels, Doc)**reseller discount limited to 10%</v>
          </cell>
          <cell r="C231">
            <v>3850</v>
          </cell>
          <cell r="D231">
            <v>2900</v>
          </cell>
          <cell r="E231">
            <v>3500</v>
          </cell>
          <cell r="F231">
            <v>23100</v>
          </cell>
          <cell r="G231">
            <v>6900</v>
          </cell>
          <cell r="H231">
            <v>2400</v>
          </cell>
          <cell r="I231">
            <v>6800000</v>
          </cell>
          <cell r="J231">
            <v>590000</v>
          </cell>
        </row>
        <row r="232">
          <cell r="A232" t="str">
            <v>0110-00085-01</v>
          </cell>
          <cell r="B232" t="str">
            <v>Black Burst Generator PAL 220v</v>
          </cell>
          <cell r="C232">
            <v>750</v>
          </cell>
          <cell r="D232">
            <v>560</v>
          </cell>
          <cell r="E232">
            <v>690</v>
          </cell>
          <cell r="F232">
            <v>4510</v>
          </cell>
          <cell r="G232">
            <v>1340</v>
          </cell>
          <cell r="H232">
            <v>480</v>
          </cell>
          <cell r="I232">
            <v>1331000</v>
          </cell>
          <cell r="J232">
            <v>114300</v>
          </cell>
        </row>
        <row r="233">
          <cell r="B233" t="str">
            <v>Avid Media Server and XINET software</v>
          </cell>
          <cell r="C233">
            <v>50112</v>
          </cell>
          <cell r="D233">
            <v>37600</v>
          </cell>
          <cell r="E233">
            <v>45900</v>
          </cell>
          <cell r="F233">
            <v>301200</v>
          </cell>
          <cell r="G233">
            <v>89800</v>
          </cell>
          <cell r="H233">
            <v>31800</v>
          </cell>
          <cell r="I233">
            <v>88900000</v>
          </cell>
          <cell r="J233">
            <v>7640000</v>
          </cell>
        </row>
        <row r="234">
          <cell r="B234" t="str">
            <v>VLAN Control for 4 more serial devices (Reqs. VLX-GPI or BC-VLX-1T2R)</v>
          </cell>
          <cell r="C234">
            <v>5650</v>
          </cell>
          <cell r="D234">
            <v>4200</v>
          </cell>
          <cell r="E234">
            <v>5200</v>
          </cell>
          <cell r="F234">
            <v>34000</v>
          </cell>
          <cell r="G234">
            <v>10100</v>
          </cell>
          <cell r="H234">
            <v>3600</v>
          </cell>
          <cell r="I234">
            <v>10000000</v>
          </cell>
          <cell r="J234">
            <v>860000</v>
          </cell>
        </row>
        <row r="235">
          <cell r="B235" t="str">
            <v xml:space="preserve">2 Deck serial control inc transmitter </v>
          </cell>
          <cell r="C235">
            <v>5650</v>
          </cell>
          <cell r="D235">
            <v>4200</v>
          </cell>
          <cell r="E235">
            <v>5200</v>
          </cell>
          <cell r="F235">
            <v>34000</v>
          </cell>
          <cell r="G235">
            <v>10100</v>
          </cell>
          <cell r="H235">
            <v>3600</v>
          </cell>
          <cell r="I235">
            <v>10000000</v>
          </cell>
          <cell r="J235">
            <v>860000</v>
          </cell>
        </row>
        <row r="236">
          <cell r="B236" t="str">
            <v>VLX-1T - GPI Receiver</v>
          </cell>
          <cell r="C236">
            <v>5300</v>
          </cell>
          <cell r="D236">
            <v>4000</v>
          </cell>
          <cell r="E236">
            <v>4900</v>
          </cell>
          <cell r="F236">
            <v>31900</v>
          </cell>
          <cell r="G236">
            <v>9500</v>
          </cell>
          <cell r="H236">
            <v>3400</v>
          </cell>
          <cell r="I236">
            <v>9400000</v>
          </cell>
          <cell r="J236">
            <v>810000</v>
          </cell>
        </row>
        <row r="237">
          <cell r="A237" t="str">
            <v>0100-03144-01</v>
          </cell>
          <cell r="B237" t="str">
            <v>Artel Software's Boris Effects software for Windows NT</v>
          </cell>
          <cell r="C237">
            <v>100</v>
          </cell>
          <cell r="D237">
            <v>80</v>
          </cell>
          <cell r="E237">
            <v>90</v>
          </cell>
          <cell r="F237">
            <v>600</v>
          </cell>
          <cell r="G237">
            <v>180</v>
          </cell>
          <cell r="H237">
            <v>60</v>
          </cell>
          <cell r="I237">
            <v>177000</v>
          </cell>
          <cell r="J237">
            <v>15200</v>
          </cell>
        </row>
        <row r="238">
          <cell r="A238" t="str">
            <v>0020-00375-01</v>
          </cell>
          <cell r="B238" t="str">
            <v>Desktop Field Pack Adapter</v>
          </cell>
          <cell r="C238">
            <v>2000</v>
          </cell>
          <cell r="D238">
            <v>1500</v>
          </cell>
          <cell r="E238">
            <v>1800</v>
          </cell>
          <cell r="F238">
            <v>11500</v>
          </cell>
          <cell r="G238">
            <v>3400</v>
          </cell>
          <cell r="H238">
            <v>1200</v>
          </cell>
          <cell r="I238">
            <v>3400000</v>
          </cell>
          <cell r="J238">
            <v>290000</v>
          </cell>
        </row>
        <row r="239">
          <cell r="A239" t="str">
            <v>0020-00005-03</v>
          </cell>
          <cell r="B239" t="str">
            <v>4GB Field Pack</v>
          </cell>
          <cell r="C239">
            <v>2500</v>
          </cell>
          <cell r="D239">
            <v>1900</v>
          </cell>
          <cell r="E239">
            <v>2200</v>
          </cell>
          <cell r="F239">
            <v>14400</v>
          </cell>
          <cell r="G239">
            <v>4300</v>
          </cell>
          <cell r="H239">
            <v>1500</v>
          </cell>
          <cell r="I239">
            <v>4200000</v>
          </cell>
          <cell r="J239">
            <v>370000</v>
          </cell>
        </row>
        <row r="240">
          <cell r="B240" t="str">
            <v>Power Supply 9GB Narrow with Enclosure</v>
          </cell>
          <cell r="C240">
            <v>199</v>
          </cell>
          <cell r="D240">
            <v>150</v>
          </cell>
          <cell r="E240">
            <v>180</v>
          </cell>
          <cell r="F240">
            <v>1200</v>
          </cell>
          <cell r="G240">
            <v>360</v>
          </cell>
          <cell r="H240">
            <v>130</v>
          </cell>
          <cell r="I240">
            <v>353000</v>
          </cell>
          <cell r="J240">
            <v>30300</v>
          </cell>
        </row>
        <row r="241">
          <cell r="B241" t="str">
            <v>Single cable for 20" Bin Monitor (PowerMac &amp; AMP)</v>
          </cell>
          <cell r="C241">
            <v>155</v>
          </cell>
          <cell r="D241">
            <v>120</v>
          </cell>
          <cell r="E241">
            <v>140</v>
          </cell>
          <cell r="F241">
            <v>930</v>
          </cell>
          <cell r="G241">
            <v>280</v>
          </cell>
          <cell r="H241">
            <v>100</v>
          </cell>
          <cell r="I241">
            <v>275000</v>
          </cell>
          <cell r="J241">
            <v>23600</v>
          </cell>
        </row>
        <row r="242">
          <cell r="B242" t="str">
            <v>Cable 3DMOD</v>
          </cell>
          <cell r="C242">
            <v>55</v>
          </cell>
          <cell r="D242">
            <v>40</v>
          </cell>
          <cell r="E242">
            <v>50</v>
          </cell>
          <cell r="F242">
            <v>330</v>
          </cell>
          <cell r="G242">
            <v>100</v>
          </cell>
          <cell r="H242">
            <v>30</v>
          </cell>
          <cell r="I242">
            <v>98000</v>
          </cell>
          <cell r="J242">
            <v>8400</v>
          </cell>
        </row>
        <row r="243">
          <cell r="A243" t="str">
            <v>0070-00432-01</v>
          </cell>
          <cell r="B243" t="str">
            <v>60M (Atto Dual Bus Express/PCI ) - 68HD, 30"</v>
          </cell>
          <cell r="C243">
            <v>150</v>
          </cell>
          <cell r="D243">
            <v>110</v>
          </cell>
          <cell r="E243">
            <v>140</v>
          </cell>
          <cell r="F243">
            <v>900</v>
          </cell>
          <cell r="G243">
            <v>270</v>
          </cell>
          <cell r="H243">
            <v>100</v>
          </cell>
          <cell r="I243">
            <v>266000</v>
          </cell>
          <cell r="J243">
            <v>22900</v>
          </cell>
        </row>
        <row r="244">
          <cell r="A244" t="str">
            <v>0070-03026-01</v>
          </cell>
          <cell r="B244" t="str">
            <v>Ultra Wide-Narrow Adaptor (Blue)</v>
          </cell>
          <cell r="C244">
            <v>55</v>
          </cell>
          <cell r="D244">
            <v>40</v>
          </cell>
          <cell r="E244">
            <v>50</v>
          </cell>
          <cell r="F244">
            <v>330</v>
          </cell>
          <cell r="G244">
            <v>100</v>
          </cell>
          <cell r="H244">
            <v>30</v>
          </cell>
          <cell r="I244">
            <v>98000</v>
          </cell>
          <cell r="J244">
            <v>8400</v>
          </cell>
        </row>
        <row r="245">
          <cell r="A245" t="str">
            <v>0070-00166-01</v>
          </cell>
          <cell r="B245" t="str">
            <v>Obsolete - 68F - 68F (Diff), 18"</v>
          </cell>
          <cell r="C245">
            <v>105</v>
          </cell>
          <cell r="D245">
            <v>80</v>
          </cell>
          <cell r="E245">
            <v>100</v>
          </cell>
          <cell r="F245">
            <v>630</v>
          </cell>
          <cell r="G245">
            <v>190</v>
          </cell>
          <cell r="H245">
            <v>70</v>
          </cell>
          <cell r="I245">
            <v>186000</v>
          </cell>
          <cell r="J245">
            <v>16000</v>
          </cell>
        </row>
        <row r="246">
          <cell r="A246" t="str">
            <v>0070-00167-01</v>
          </cell>
          <cell r="B246" t="str">
            <v>68F - 68F (Diff), 42"</v>
          </cell>
          <cell r="C246">
            <v>70</v>
          </cell>
          <cell r="D246">
            <v>50</v>
          </cell>
          <cell r="E246">
            <v>60</v>
          </cell>
          <cell r="F246">
            <v>420</v>
          </cell>
          <cell r="G246">
            <v>130</v>
          </cell>
          <cell r="H246">
            <v>40</v>
          </cell>
          <cell r="I246">
            <v>124000</v>
          </cell>
          <cell r="J246">
            <v>10700</v>
          </cell>
        </row>
        <row r="247">
          <cell r="A247" t="str">
            <v>0070-00428-01</v>
          </cell>
          <cell r="B247" t="str">
            <v xml:space="preserve">68M - 68M, 15" </v>
          </cell>
          <cell r="C247">
            <v>45</v>
          </cell>
          <cell r="D247">
            <v>30</v>
          </cell>
          <cell r="E247">
            <v>40</v>
          </cell>
          <cell r="F247">
            <v>270</v>
          </cell>
          <cell r="G247">
            <v>80</v>
          </cell>
          <cell r="H247">
            <v>30</v>
          </cell>
          <cell r="I247">
            <v>80000</v>
          </cell>
          <cell r="J247">
            <v>6900</v>
          </cell>
        </row>
        <row r="248">
          <cell r="A248" t="str">
            <v>0070-00172-01</v>
          </cell>
          <cell r="B248" t="str">
            <v>68M - 68M, 30"</v>
          </cell>
          <cell r="C248">
            <v>55</v>
          </cell>
          <cell r="D248">
            <v>40</v>
          </cell>
          <cell r="E248">
            <v>50</v>
          </cell>
          <cell r="F248">
            <v>330</v>
          </cell>
          <cell r="G248">
            <v>100</v>
          </cell>
          <cell r="H248">
            <v>30</v>
          </cell>
          <cell r="I248">
            <v>98000</v>
          </cell>
          <cell r="J248">
            <v>8400</v>
          </cell>
        </row>
        <row r="249">
          <cell r="B249" t="str">
            <v>Cable from AMCI Board to 8x8x8 audio interface</v>
          </cell>
          <cell r="C249">
            <v>188</v>
          </cell>
          <cell r="D249">
            <v>140</v>
          </cell>
          <cell r="E249">
            <v>170</v>
          </cell>
          <cell r="F249">
            <v>1130</v>
          </cell>
          <cell r="G249">
            <v>340</v>
          </cell>
          <cell r="H249">
            <v>120</v>
          </cell>
          <cell r="I249">
            <v>334000</v>
          </cell>
          <cell r="J249">
            <v>28700</v>
          </cell>
        </row>
        <row r="250">
          <cell r="B250" t="str">
            <v>Broadcast 10Meter Cat.5 Cable</v>
          </cell>
          <cell r="C250">
            <v>150</v>
          </cell>
          <cell r="D250">
            <v>110</v>
          </cell>
          <cell r="E250">
            <v>140</v>
          </cell>
          <cell r="F250">
            <v>900</v>
          </cell>
          <cell r="G250">
            <v>270</v>
          </cell>
          <cell r="H250">
            <v>100</v>
          </cell>
          <cell r="I250">
            <v>266000</v>
          </cell>
          <cell r="J250">
            <v>22900</v>
          </cell>
        </row>
        <row r="251">
          <cell r="A251" t="str">
            <v>0010-03383-01</v>
          </cell>
          <cell r="B251" t="str">
            <v>Core cable kit AMIII systems (MCO)</v>
          </cell>
          <cell r="C251">
            <v>486</v>
          </cell>
          <cell r="D251">
            <v>360</v>
          </cell>
          <cell r="E251">
            <v>450</v>
          </cell>
          <cell r="F251">
            <v>2920</v>
          </cell>
          <cell r="G251">
            <v>870</v>
          </cell>
          <cell r="H251">
            <v>310</v>
          </cell>
          <cell r="I251">
            <v>862000</v>
          </cell>
          <cell r="J251">
            <v>74100</v>
          </cell>
        </row>
        <row r="252">
          <cell r="A252" t="str">
            <v>0010-03384-01</v>
          </cell>
          <cell r="B252" t="str">
            <v xml:space="preserve">Core cable kit Amadeus systems </v>
          </cell>
          <cell r="C252">
            <v>842</v>
          </cell>
          <cell r="D252">
            <v>630</v>
          </cell>
          <cell r="E252">
            <v>770</v>
          </cell>
          <cell r="F252">
            <v>5060</v>
          </cell>
          <cell r="G252">
            <v>1510</v>
          </cell>
          <cell r="H252">
            <v>530</v>
          </cell>
          <cell r="I252">
            <v>1494000</v>
          </cell>
          <cell r="J252">
            <v>128400</v>
          </cell>
        </row>
        <row r="253">
          <cell r="A253" t="str">
            <v>0070-00507-01</v>
          </cell>
          <cell r="B253" t="str">
            <v>DFeck control cable for MCXpress for Windows NT</v>
          </cell>
          <cell r="C253">
            <v>140</v>
          </cell>
          <cell r="D253">
            <v>110</v>
          </cell>
          <cell r="E253">
            <v>130</v>
          </cell>
          <cell r="F253">
            <v>840</v>
          </cell>
          <cell r="G253">
            <v>250</v>
          </cell>
          <cell r="H253">
            <v>90</v>
          </cell>
          <cell r="I253">
            <v>248000</v>
          </cell>
          <cell r="J253">
            <v>21300</v>
          </cell>
        </row>
        <row r="254">
          <cell r="B254" t="str">
            <v>Broadcast 10Meter Fibre Optic Cable</v>
          </cell>
          <cell r="C254">
            <v>200</v>
          </cell>
          <cell r="D254">
            <v>150</v>
          </cell>
          <cell r="E254">
            <v>180</v>
          </cell>
          <cell r="F254">
            <v>1200</v>
          </cell>
          <cell r="G254">
            <v>360</v>
          </cell>
          <cell r="H254">
            <v>130</v>
          </cell>
          <cell r="I254">
            <v>355000</v>
          </cell>
          <cell r="J254">
            <v>30500</v>
          </cell>
        </row>
        <row r="255">
          <cell r="B255" t="str">
            <v>Broadcast 50Meter Fibre Optic Cable</v>
          </cell>
          <cell r="C255">
            <v>400</v>
          </cell>
          <cell r="D255">
            <v>300</v>
          </cell>
          <cell r="E255">
            <v>370</v>
          </cell>
          <cell r="F255">
            <v>2400</v>
          </cell>
          <cell r="G255">
            <v>720</v>
          </cell>
          <cell r="H255">
            <v>250</v>
          </cell>
          <cell r="I255">
            <v>710000</v>
          </cell>
          <cell r="J255">
            <v>61000</v>
          </cell>
        </row>
        <row r="256">
          <cell r="B256" t="str">
            <v>Cable 20" Hi-res Bin Monitor</v>
          </cell>
          <cell r="C256">
            <v>152</v>
          </cell>
          <cell r="D256">
            <v>110</v>
          </cell>
          <cell r="E256">
            <v>140</v>
          </cell>
          <cell r="F256">
            <v>910</v>
          </cell>
          <cell r="G256">
            <v>270</v>
          </cell>
          <cell r="H256">
            <v>100</v>
          </cell>
          <cell r="I256">
            <v>270000</v>
          </cell>
          <cell r="J256">
            <v>23200</v>
          </cell>
        </row>
        <row r="257">
          <cell r="B257" t="str">
            <v xml:space="preserve">Cable 20" Hi-res Edit Monitor </v>
          </cell>
          <cell r="C257">
            <v>152</v>
          </cell>
          <cell r="D257">
            <v>110</v>
          </cell>
          <cell r="E257">
            <v>140</v>
          </cell>
          <cell r="F257">
            <v>910</v>
          </cell>
          <cell r="G257">
            <v>270</v>
          </cell>
          <cell r="H257">
            <v>100</v>
          </cell>
          <cell r="I257">
            <v>270000</v>
          </cell>
          <cell r="J257">
            <v>23200</v>
          </cell>
        </row>
        <row r="258">
          <cell r="B258" t="str">
            <v>SA4 Audio Sub cable kit</v>
          </cell>
          <cell r="C258">
            <v>465</v>
          </cell>
          <cell r="D258">
            <v>350</v>
          </cell>
          <cell r="E258">
            <v>430</v>
          </cell>
          <cell r="F258">
            <v>2790</v>
          </cell>
          <cell r="G258">
            <v>830</v>
          </cell>
          <cell r="H258">
            <v>290</v>
          </cell>
          <cell r="I258">
            <v>825000</v>
          </cell>
          <cell r="J258">
            <v>70900</v>
          </cell>
        </row>
        <row r="259">
          <cell r="B259" t="str">
            <v>Cable Kit Mixer/Amp for MC (SA4 &amp;4x4 only)</v>
          </cell>
          <cell r="C259">
            <v>405</v>
          </cell>
          <cell r="D259">
            <v>300</v>
          </cell>
          <cell r="E259">
            <v>370</v>
          </cell>
          <cell r="F259">
            <v>2430</v>
          </cell>
          <cell r="G259">
            <v>730</v>
          </cell>
          <cell r="H259">
            <v>260</v>
          </cell>
          <cell r="I259">
            <v>719000</v>
          </cell>
          <cell r="J259">
            <v>61700</v>
          </cell>
        </row>
        <row r="260">
          <cell r="B260" t="str">
            <v>Airplay cable kit</v>
          </cell>
          <cell r="C260">
            <v>850</v>
          </cell>
          <cell r="D260">
            <v>640</v>
          </cell>
          <cell r="E260">
            <v>780</v>
          </cell>
          <cell r="F260">
            <v>5110</v>
          </cell>
          <cell r="G260">
            <v>1520</v>
          </cell>
          <cell r="H260">
            <v>540</v>
          </cell>
          <cell r="I260">
            <v>1508000</v>
          </cell>
          <cell r="J260">
            <v>129600</v>
          </cell>
        </row>
        <row r="261">
          <cell r="B261" t="str">
            <v>NewsCutter cable kit</v>
          </cell>
          <cell r="C261">
            <v>850</v>
          </cell>
          <cell r="D261">
            <v>640</v>
          </cell>
          <cell r="E261">
            <v>780</v>
          </cell>
          <cell r="F261">
            <v>5110</v>
          </cell>
          <cell r="G261">
            <v>1520</v>
          </cell>
          <cell r="H261">
            <v>540</v>
          </cell>
          <cell r="I261">
            <v>1508000</v>
          </cell>
          <cell r="J261">
            <v>129600</v>
          </cell>
        </row>
        <row r="262">
          <cell r="B262" t="str">
            <v>Audio Amp &amp; Speaks Cable Kit</v>
          </cell>
          <cell r="C262">
            <v>90</v>
          </cell>
          <cell r="D262">
            <v>70</v>
          </cell>
          <cell r="E262">
            <v>80</v>
          </cell>
          <cell r="F262">
            <v>540</v>
          </cell>
          <cell r="G262">
            <v>160</v>
          </cell>
          <cell r="H262">
            <v>60</v>
          </cell>
          <cell r="I262">
            <v>160000</v>
          </cell>
          <cell r="J262">
            <v>13700</v>
          </cell>
        </row>
        <row r="263">
          <cell r="B263" t="str">
            <v>Mac 20 HR dual res / NuVista 20 monitor cable kit</v>
          </cell>
          <cell r="C263">
            <v>360</v>
          </cell>
          <cell r="D263">
            <v>270</v>
          </cell>
          <cell r="E263">
            <v>330</v>
          </cell>
          <cell r="F263">
            <v>2160</v>
          </cell>
          <cell r="G263">
            <v>650</v>
          </cell>
          <cell r="H263">
            <v>230</v>
          </cell>
          <cell r="I263">
            <v>639000</v>
          </cell>
          <cell r="J263">
            <v>54900</v>
          </cell>
        </row>
        <row r="264">
          <cell r="B264" t="str">
            <v>Broadcast Component Video Kit Bin20 / Edit 20</v>
          </cell>
          <cell r="C264">
            <v>630</v>
          </cell>
          <cell r="D264">
            <v>470</v>
          </cell>
          <cell r="E264">
            <v>580</v>
          </cell>
          <cell r="F264">
            <v>3790</v>
          </cell>
          <cell r="G264">
            <v>1130</v>
          </cell>
          <cell r="H264">
            <v>400</v>
          </cell>
          <cell r="I264">
            <v>1118000</v>
          </cell>
          <cell r="J264">
            <v>96000</v>
          </cell>
        </row>
        <row r="265">
          <cell r="B265" t="str">
            <v>Broadcast Serial Digital Video Kit</v>
          </cell>
          <cell r="C265">
            <v>320</v>
          </cell>
          <cell r="D265">
            <v>240</v>
          </cell>
          <cell r="E265">
            <v>290</v>
          </cell>
          <cell r="F265">
            <v>1920</v>
          </cell>
          <cell r="G265">
            <v>570</v>
          </cell>
          <cell r="H265">
            <v>200</v>
          </cell>
          <cell r="I265">
            <v>568000</v>
          </cell>
          <cell r="J265">
            <v>48800</v>
          </cell>
        </row>
        <row r="266">
          <cell r="B266" t="str">
            <v>Digital audio mixer cable kit (16 channels I/O)</v>
          </cell>
          <cell r="C266">
            <v>640</v>
          </cell>
          <cell r="D266">
            <v>480</v>
          </cell>
          <cell r="E266">
            <v>590</v>
          </cell>
          <cell r="F266">
            <v>3850</v>
          </cell>
          <cell r="G266">
            <v>1150</v>
          </cell>
          <cell r="H266">
            <v>410</v>
          </cell>
          <cell r="I266">
            <v>1135000</v>
          </cell>
          <cell r="J266">
            <v>97600</v>
          </cell>
        </row>
        <row r="267">
          <cell r="B267" t="str">
            <v>MicroLynx third machine expansion cable</v>
          </cell>
          <cell r="C267">
            <v>199.50505100000001</v>
          </cell>
          <cell r="D267">
            <v>150</v>
          </cell>
          <cell r="E267">
            <v>180</v>
          </cell>
          <cell r="F267">
            <v>1200</v>
          </cell>
          <cell r="G267">
            <v>360</v>
          </cell>
          <cell r="H267">
            <v>130</v>
          </cell>
          <cell r="I267">
            <v>354000</v>
          </cell>
          <cell r="J267">
            <v>30400</v>
          </cell>
        </row>
        <row r="268">
          <cell r="B268" t="str">
            <v>MicroLynx serial machine control cable</v>
          </cell>
          <cell r="C268">
            <v>150</v>
          </cell>
          <cell r="D268">
            <v>110</v>
          </cell>
          <cell r="E268">
            <v>140</v>
          </cell>
          <cell r="F268">
            <v>900</v>
          </cell>
          <cell r="G268">
            <v>270</v>
          </cell>
          <cell r="H268">
            <v>100</v>
          </cell>
          <cell r="I268">
            <v>266000</v>
          </cell>
          <cell r="J268">
            <v>22900</v>
          </cell>
        </row>
        <row r="269">
          <cell r="B269" t="str">
            <v>21" Monitor cable kit</v>
          </cell>
          <cell r="C269">
            <v>304</v>
          </cell>
          <cell r="D269">
            <v>230</v>
          </cell>
          <cell r="E269">
            <v>280</v>
          </cell>
          <cell r="F269">
            <v>1830</v>
          </cell>
          <cell r="G269">
            <v>540</v>
          </cell>
          <cell r="H269">
            <v>190</v>
          </cell>
          <cell r="I269">
            <v>539000</v>
          </cell>
          <cell r="J269">
            <v>46300</v>
          </cell>
        </row>
        <row r="270">
          <cell r="A270" t="str">
            <v>0010-03386-01</v>
          </cell>
          <cell r="B270" t="str">
            <v>21"  HiRes Monitor cable</v>
          </cell>
          <cell r="C270">
            <v>304</v>
          </cell>
          <cell r="D270">
            <v>230</v>
          </cell>
          <cell r="E270">
            <v>280</v>
          </cell>
          <cell r="F270">
            <v>1830</v>
          </cell>
          <cell r="G270">
            <v>540</v>
          </cell>
          <cell r="H270">
            <v>190</v>
          </cell>
          <cell r="I270">
            <v>539000</v>
          </cell>
          <cell r="J270">
            <v>46300</v>
          </cell>
        </row>
        <row r="271">
          <cell r="B271" t="str">
            <v>Cable PCI-Betatop Video</v>
          </cell>
          <cell r="C271">
            <v>69</v>
          </cell>
          <cell r="D271">
            <v>50</v>
          </cell>
          <cell r="E271">
            <v>60</v>
          </cell>
          <cell r="F271">
            <v>410</v>
          </cell>
          <cell r="G271">
            <v>120</v>
          </cell>
          <cell r="H271">
            <v>40</v>
          </cell>
          <cell r="I271">
            <v>122000</v>
          </cell>
          <cell r="J271">
            <v>10500</v>
          </cell>
        </row>
        <row r="272">
          <cell r="B272" t="str">
            <v>Cable PCI Studiocard Base Bd Mon Adapt</v>
          </cell>
          <cell r="C272">
            <v>36</v>
          </cell>
          <cell r="D272">
            <v>30</v>
          </cell>
          <cell r="E272">
            <v>30</v>
          </cell>
          <cell r="F272">
            <v>220</v>
          </cell>
          <cell r="G272">
            <v>60</v>
          </cell>
          <cell r="H272">
            <v>20</v>
          </cell>
          <cell r="I272">
            <v>64000</v>
          </cell>
          <cell r="J272">
            <v>5500</v>
          </cell>
        </row>
        <row r="273">
          <cell r="B273" t="str">
            <v>Cable SA4/Amadeus to 4X4</v>
          </cell>
          <cell r="C273">
            <v>94</v>
          </cell>
          <cell r="D273">
            <v>70</v>
          </cell>
          <cell r="E273">
            <v>90</v>
          </cell>
          <cell r="F273">
            <v>560</v>
          </cell>
          <cell r="G273">
            <v>170</v>
          </cell>
          <cell r="H273">
            <v>60</v>
          </cell>
          <cell r="I273">
            <v>167000</v>
          </cell>
          <cell r="J273">
            <v>14300</v>
          </cell>
        </row>
        <row r="274">
          <cell r="A274" t="str">
            <v>0070-00198-01</v>
          </cell>
          <cell r="B274" t="str">
            <v>68F - 68F (Diff), 14'</v>
          </cell>
          <cell r="C274">
            <v>125</v>
          </cell>
          <cell r="D274">
            <v>90</v>
          </cell>
          <cell r="E274">
            <v>110</v>
          </cell>
          <cell r="F274">
            <v>750</v>
          </cell>
          <cell r="G274">
            <v>220</v>
          </cell>
          <cell r="H274">
            <v>80</v>
          </cell>
          <cell r="I274">
            <v>222000</v>
          </cell>
          <cell r="J274">
            <v>19100</v>
          </cell>
        </row>
        <row r="275">
          <cell r="A275" t="str">
            <v>0070-00199-01</v>
          </cell>
          <cell r="B275" t="str">
            <v>68F - 68F (Diff), 30'</v>
          </cell>
          <cell r="C275">
            <v>175</v>
          </cell>
          <cell r="D275">
            <v>130</v>
          </cell>
          <cell r="E275">
            <v>160</v>
          </cell>
          <cell r="F275">
            <v>1050</v>
          </cell>
          <cell r="G275">
            <v>310</v>
          </cell>
          <cell r="H275">
            <v>110</v>
          </cell>
          <cell r="I275">
            <v>310000</v>
          </cell>
          <cell r="J275">
            <v>26700</v>
          </cell>
        </row>
        <row r="276">
          <cell r="A276" t="str">
            <v>0070-00200-01</v>
          </cell>
          <cell r="B276" t="str">
            <v>68F - 68F (Diff), 75'</v>
          </cell>
          <cell r="C276">
            <v>305</v>
          </cell>
          <cell r="D276">
            <v>230</v>
          </cell>
          <cell r="E276">
            <v>280</v>
          </cell>
          <cell r="F276">
            <v>1830</v>
          </cell>
          <cell r="G276">
            <v>550</v>
          </cell>
          <cell r="H276">
            <v>190</v>
          </cell>
          <cell r="I276">
            <v>541000</v>
          </cell>
          <cell r="J276">
            <v>46500</v>
          </cell>
        </row>
        <row r="277">
          <cell r="A277" t="str">
            <v>0070-00079-01</v>
          </cell>
          <cell r="B277" t="str">
            <v>25D M - Centronics 22"</v>
          </cell>
          <cell r="C277">
            <v>55</v>
          </cell>
          <cell r="D277">
            <v>40</v>
          </cell>
          <cell r="E277">
            <v>50</v>
          </cell>
          <cell r="F277">
            <v>330</v>
          </cell>
          <cell r="G277">
            <v>100</v>
          </cell>
          <cell r="H277">
            <v>30</v>
          </cell>
          <cell r="I277">
            <v>98000</v>
          </cell>
          <cell r="J277">
            <v>8400</v>
          </cell>
        </row>
        <row r="278">
          <cell r="A278" t="str">
            <v>0070-00081-01</v>
          </cell>
          <cell r="B278" t="str">
            <v>Centronics - Centronics, 24"</v>
          </cell>
          <cell r="C278">
            <v>45</v>
          </cell>
          <cell r="D278">
            <v>30</v>
          </cell>
          <cell r="E278">
            <v>40</v>
          </cell>
          <cell r="F278">
            <v>270</v>
          </cell>
          <cell r="G278">
            <v>80</v>
          </cell>
          <cell r="H278">
            <v>30</v>
          </cell>
          <cell r="I278">
            <v>80000</v>
          </cell>
          <cell r="J278">
            <v>6900</v>
          </cell>
        </row>
        <row r="279">
          <cell r="A279" t="str">
            <v>0070-00080-01</v>
          </cell>
          <cell r="B279" t="str">
            <v>Centronics - Centronics, 15"</v>
          </cell>
          <cell r="C279">
            <v>45</v>
          </cell>
          <cell r="D279">
            <v>30</v>
          </cell>
          <cell r="E279">
            <v>40</v>
          </cell>
          <cell r="F279">
            <v>270</v>
          </cell>
          <cell r="G279">
            <v>80</v>
          </cell>
          <cell r="H279">
            <v>30</v>
          </cell>
          <cell r="I279">
            <v>80000</v>
          </cell>
          <cell r="J279">
            <v>6900</v>
          </cell>
        </row>
        <row r="280">
          <cell r="A280" t="str">
            <v>0070-00174-01</v>
          </cell>
          <cell r="B280" t="str">
            <v>25D M (SE2) - 68M</v>
          </cell>
          <cell r="C280">
            <v>80</v>
          </cell>
          <cell r="D280">
            <v>100</v>
          </cell>
          <cell r="E280">
            <v>100</v>
          </cell>
          <cell r="F280">
            <v>500</v>
          </cell>
          <cell r="G280">
            <v>100</v>
          </cell>
          <cell r="H280">
            <v>100</v>
          </cell>
          <cell r="I280">
            <v>100000</v>
          </cell>
          <cell r="J280">
            <v>10000</v>
          </cell>
        </row>
        <row r="281">
          <cell r="B281" t="str">
            <v>68M (SE4) - Centronics, 30"</v>
          </cell>
          <cell r="C281">
            <v>51</v>
          </cell>
          <cell r="D281">
            <v>40</v>
          </cell>
          <cell r="E281">
            <v>50</v>
          </cell>
          <cell r="F281">
            <v>310</v>
          </cell>
          <cell r="G281">
            <v>90</v>
          </cell>
          <cell r="H281">
            <v>30</v>
          </cell>
          <cell r="I281">
            <v>90000</v>
          </cell>
          <cell r="J281">
            <v>7800</v>
          </cell>
        </row>
        <row r="282">
          <cell r="B282" t="str">
            <v>Serial Control Cable</v>
          </cell>
          <cell r="C282">
            <v>30</v>
          </cell>
          <cell r="D282">
            <v>20</v>
          </cell>
          <cell r="E282">
            <v>30</v>
          </cell>
          <cell r="F282">
            <v>180</v>
          </cell>
          <cell r="G282">
            <v>50</v>
          </cell>
          <cell r="H282">
            <v>20</v>
          </cell>
          <cell r="I282">
            <v>53000</v>
          </cell>
          <cell r="J282">
            <v>4600</v>
          </cell>
        </row>
        <row r="283">
          <cell r="A283" t="str">
            <v>0010-03387-01</v>
          </cell>
          <cell r="B283" t="str">
            <v>AM3-Amadeus upgrade cable kit</v>
          </cell>
          <cell r="C283">
            <v>526</v>
          </cell>
          <cell r="D283">
            <v>390</v>
          </cell>
          <cell r="E283">
            <v>480</v>
          </cell>
          <cell r="F283">
            <v>3160</v>
          </cell>
          <cell r="G283">
            <v>940</v>
          </cell>
          <cell r="H283">
            <v>330</v>
          </cell>
          <cell r="I283">
            <v>933000</v>
          </cell>
          <cell r="J283">
            <v>80200</v>
          </cell>
        </row>
        <row r="284">
          <cell r="A284" t="str">
            <v>0010-03385-01</v>
          </cell>
          <cell r="B284" t="str">
            <v>NuBus to PCI upgrade cable kit</v>
          </cell>
          <cell r="C284">
            <v>196</v>
          </cell>
          <cell r="D284">
            <v>150</v>
          </cell>
          <cell r="E284">
            <v>180</v>
          </cell>
          <cell r="F284">
            <v>1180</v>
          </cell>
          <cell r="G284">
            <v>350</v>
          </cell>
          <cell r="H284">
            <v>120</v>
          </cell>
          <cell r="I284">
            <v>348000</v>
          </cell>
          <cell r="J284">
            <v>29900</v>
          </cell>
        </row>
        <row r="285">
          <cell r="B285" t="str">
            <v>VC1808F Sony Serial Transport Cable</v>
          </cell>
          <cell r="C285">
            <v>90</v>
          </cell>
          <cell r="D285">
            <v>70</v>
          </cell>
          <cell r="E285">
            <v>80</v>
          </cell>
          <cell r="F285">
            <v>540</v>
          </cell>
          <cell r="G285">
            <v>160</v>
          </cell>
          <cell r="H285">
            <v>60</v>
          </cell>
          <cell r="I285">
            <v>160000</v>
          </cell>
          <cell r="J285">
            <v>13700</v>
          </cell>
        </row>
        <row r="286">
          <cell r="B286" t="str">
            <v>VC1826F Mac to VLX Cable</v>
          </cell>
          <cell r="C286">
            <v>90</v>
          </cell>
          <cell r="D286">
            <v>70</v>
          </cell>
          <cell r="E286">
            <v>80</v>
          </cell>
          <cell r="F286">
            <v>540</v>
          </cell>
          <cell r="G286">
            <v>160</v>
          </cell>
          <cell r="H286">
            <v>60</v>
          </cell>
          <cell r="I286">
            <v>160000</v>
          </cell>
          <cell r="J286">
            <v>13700</v>
          </cell>
        </row>
        <row r="287">
          <cell r="A287" t="str">
            <v>0070-00205-01</v>
          </cell>
          <cell r="B287" t="str">
            <v>VTR Emulation cable CBL#160 - Mac</v>
          </cell>
          <cell r="C287">
            <v>120</v>
          </cell>
          <cell r="D287">
            <v>90</v>
          </cell>
          <cell r="E287">
            <v>110</v>
          </cell>
          <cell r="F287">
            <v>720</v>
          </cell>
          <cell r="G287">
            <v>220</v>
          </cell>
          <cell r="H287">
            <v>80</v>
          </cell>
          <cell r="I287">
            <v>213000</v>
          </cell>
          <cell r="J287">
            <v>18300</v>
          </cell>
        </row>
        <row r="288">
          <cell r="B288" t="str">
            <v>Cable XLR/Jack Transformer</v>
          </cell>
          <cell r="C288">
            <v>144</v>
          </cell>
          <cell r="D288">
            <v>110</v>
          </cell>
          <cell r="E288">
            <v>130</v>
          </cell>
          <cell r="F288">
            <v>870</v>
          </cell>
          <cell r="G288">
            <v>260</v>
          </cell>
          <cell r="H288">
            <v>90</v>
          </cell>
          <cell r="I288">
            <v>255000</v>
          </cell>
          <cell r="J288">
            <v>22000</v>
          </cell>
        </row>
        <row r="289">
          <cell r="B289" t="str">
            <v>Cable XLR to XLR</v>
          </cell>
          <cell r="C289">
            <v>35</v>
          </cell>
          <cell r="D289">
            <v>30</v>
          </cell>
          <cell r="E289">
            <v>30</v>
          </cell>
          <cell r="F289">
            <v>210</v>
          </cell>
          <cell r="G289">
            <v>60</v>
          </cell>
          <cell r="H289">
            <v>20</v>
          </cell>
          <cell r="I289">
            <v>62000</v>
          </cell>
          <cell r="J289">
            <v>5300</v>
          </cell>
        </row>
        <row r="290">
          <cell r="B290" t="str">
            <v>BC MX500 DC8 Chassis</v>
          </cell>
          <cell r="C290">
            <v>22018</v>
          </cell>
          <cell r="D290">
            <v>16500</v>
          </cell>
          <cell r="E290">
            <v>20200</v>
          </cell>
          <cell r="F290">
            <v>132300</v>
          </cell>
          <cell r="G290">
            <v>39500</v>
          </cell>
          <cell r="H290">
            <v>14000</v>
          </cell>
          <cell r="I290">
            <v>39100000</v>
          </cell>
          <cell r="J290">
            <v>3360000</v>
          </cell>
        </row>
        <row r="291">
          <cell r="B291" t="str">
            <v>Rack Mount Kit for Ciprico</v>
          </cell>
          <cell r="C291">
            <v>500</v>
          </cell>
          <cell r="D291">
            <v>380</v>
          </cell>
          <cell r="E291">
            <v>460</v>
          </cell>
          <cell r="F291">
            <v>3010</v>
          </cell>
          <cell r="G291">
            <v>900</v>
          </cell>
          <cell r="H291">
            <v>320</v>
          </cell>
          <cell r="I291">
            <v>887000</v>
          </cell>
          <cell r="J291">
            <v>76200</v>
          </cell>
        </row>
        <row r="292">
          <cell r="B292" t="str">
            <v>Rack Mounting KIT for Avid Media Processor</v>
          </cell>
          <cell r="C292">
            <v>300</v>
          </cell>
          <cell r="D292">
            <v>230</v>
          </cell>
          <cell r="E292">
            <v>270</v>
          </cell>
          <cell r="F292">
            <v>1800</v>
          </cell>
          <cell r="G292">
            <v>540</v>
          </cell>
          <cell r="H292">
            <v>190</v>
          </cell>
          <cell r="I292">
            <v>532000</v>
          </cell>
          <cell r="J292">
            <v>45700</v>
          </cell>
        </row>
        <row r="293">
          <cell r="A293" t="str">
            <v>0555-03026-01</v>
          </cell>
          <cell r="B293" t="str">
            <v>Credit against One 21"" High Resolution Monitor</v>
          </cell>
          <cell r="C293">
            <v>1500</v>
          </cell>
          <cell r="D293">
            <v>1130</v>
          </cell>
          <cell r="E293">
            <v>1370</v>
          </cell>
          <cell r="F293">
            <v>9020</v>
          </cell>
          <cell r="G293">
            <v>2690</v>
          </cell>
          <cell r="H293">
            <v>950</v>
          </cell>
          <cell r="I293">
            <v>2661000</v>
          </cell>
          <cell r="J293">
            <v>228700</v>
          </cell>
        </row>
        <row r="294">
          <cell r="B294" t="str">
            <v>Credit against Apple G3</v>
          </cell>
          <cell r="C294">
            <v>-3000</v>
          </cell>
          <cell r="D294">
            <v>-2300</v>
          </cell>
          <cell r="E294">
            <v>-2700</v>
          </cell>
          <cell r="F294">
            <v>-18000</v>
          </cell>
          <cell r="G294">
            <v>-5400</v>
          </cell>
          <cell r="H294">
            <v>-1900</v>
          </cell>
          <cell r="I294">
            <v>-5300000</v>
          </cell>
          <cell r="J294">
            <v>-460000</v>
          </cell>
        </row>
        <row r="295">
          <cell r="B295" t="str">
            <v>Credit against substitution of Microlynx with Videoslave Driver (AudioVision)</v>
          </cell>
          <cell r="C295">
            <v>1500</v>
          </cell>
          <cell r="D295">
            <v>1130</v>
          </cell>
          <cell r="E295">
            <v>1370</v>
          </cell>
          <cell r="F295">
            <v>9020</v>
          </cell>
          <cell r="G295">
            <v>2690</v>
          </cell>
          <cell r="H295">
            <v>950</v>
          </cell>
          <cell r="I295">
            <v>2661000</v>
          </cell>
          <cell r="J295">
            <v>228700</v>
          </cell>
        </row>
        <row r="296">
          <cell r="B296" t="str">
            <v>Spare 9GB Drive for Rack Mounted Chassis</v>
          </cell>
          <cell r="C296">
            <v>3300</v>
          </cell>
          <cell r="D296">
            <v>2500</v>
          </cell>
          <cell r="E296">
            <v>3000</v>
          </cell>
          <cell r="F296">
            <v>19800</v>
          </cell>
          <cell r="G296">
            <v>5900</v>
          </cell>
          <cell r="H296">
            <v>2100</v>
          </cell>
          <cell r="I296">
            <v>5900000</v>
          </cell>
          <cell r="J296">
            <v>500000</v>
          </cell>
        </row>
        <row r="297">
          <cell r="B297" t="str">
            <v>Digital Patch Panel for AMP with cables</v>
          </cell>
          <cell r="C297">
            <v>1200</v>
          </cell>
          <cell r="D297">
            <v>900</v>
          </cell>
          <cell r="E297">
            <v>1100</v>
          </cell>
          <cell r="F297">
            <v>7210</v>
          </cell>
          <cell r="G297">
            <v>2150</v>
          </cell>
          <cell r="H297">
            <v>760</v>
          </cell>
          <cell r="I297">
            <v>2129000</v>
          </cell>
          <cell r="J297">
            <v>182900</v>
          </cell>
        </row>
        <row r="298">
          <cell r="B298" t="str">
            <v>AVIDdrive 20Gb DLT with 5 cart Auto-loader (100Gb)</v>
          </cell>
          <cell r="C298">
            <v>13075</v>
          </cell>
          <cell r="D298">
            <v>9800</v>
          </cell>
          <cell r="E298">
            <v>12000</v>
          </cell>
          <cell r="F298">
            <v>78600</v>
          </cell>
          <cell r="G298">
            <v>23400</v>
          </cell>
          <cell r="H298">
            <v>8300</v>
          </cell>
          <cell r="I298">
            <v>23200000</v>
          </cell>
          <cell r="J298">
            <v>1990000</v>
          </cell>
        </row>
        <row r="299">
          <cell r="B299" t="str">
            <v>Avid DLT Drive, 20GB</v>
          </cell>
          <cell r="C299">
            <v>8625</v>
          </cell>
          <cell r="D299">
            <v>6500</v>
          </cell>
          <cell r="E299">
            <v>7900</v>
          </cell>
          <cell r="F299">
            <v>51800</v>
          </cell>
          <cell r="G299">
            <v>15500</v>
          </cell>
          <cell r="H299">
            <v>5500</v>
          </cell>
          <cell r="I299">
            <v>15300000</v>
          </cell>
          <cell r="J299">
            <v>1310000</v>
          </cell>
        </row>
        <row r="300">
          <cell r="A300" t="str">
            <v>0020-00448-01</v>
          </cell>
          <cell r="B300" t="str">
            <v>Avid DLT Drive, 35GB (incl Mezzo SFW +Enabler)</v>
          </cell>
          <cell r="C300">
            <v>9815</v>
          </cell>
          <cell r="D300">
            <v>7360</v>
          </cell>
          <cell r="E300">
            <v>8990</v>
          </cell>
          <cell r="F300">
            <v>58990</v>
          </cell>
          <cell r="G300">
            <v>17590</v>
          </cell>
          <cell r="H300">
            <v>6220</v>
          </cell>
          <cell r="I300">
            <v>17413000</v>
          </cell>
          <cell r="J300">
            <v>1496300</v>
          </cell>
        </row>
        <row r="301">
          <cell r="A301" t="str">
            <v>0190-00016-01</v>
          </cell>
          <cell r="B301" t="str">
            <v>DLT Cleaning Cartridge</v>
          </cell>
          <cell r="C301">
            <v>75</v>
          </cell>
          <cell r="D301">
            <v>60</v>
          </cell>
          <cell r="E301">
            <v>70</v>
          </cell>
          <cell r="F301">
            <v>450</v>
          </cell>
          <cell r="G301">
            <v>130</v>
          </cell>
          <cell r="H301">
            <v>50</v>
          </cell>
          <cell r="I301">
            <v>133000</v>
          </cell>
          <cell r="J301">
            <v>11400</v>
          </cell>
        </row>
        <row r="302">
          <cell r="A302" t="str">
            <v>0010-00772-01</v>
          </cell>
          <cell r="B302" t="str">
            <v>DLT Mezzo Archiving Software, key and doc</v>
          </cell>
          <cell r="C302">
            <v>699</v>
          </cell>
          <cell r="D302">
            <v>500</v>
          </cell>
          <cell r="E302">
            <v>600</v>
          </cell>
          <cell r="F302">
            <v>4200</v>
          </cell>
          <cell r="G302">
            <v>1300</v>
          </cell>
          <cell r="H302">
            <v>400</v>
          </cell>
          <cell r="I302">
            <v>1200000</v>
          </cell>
          <cell r="J302">
            <v>110000</v>
          </cell>
        </row>
        <row r="303">
          <cell r="A303" t="str">
            <v>0050-00168-01</v>
          </cell>
          <cell r="B303" t="str">
            <v>DLT Tape Cartridge X1</v>
          </cell>
          <cell r="C303">
            <v>159</v>
          </cell>
          <cell r="D303">
            <v>100</v>
          </cell>
          <cell r="E303">
            <v>100</v>
          </cell>
          <cell r="F303">
            <v>1000</v>
          </cell>
          <cell r="G303">
            <v>300</v>
          </cell>
          <cell r="H303">
            <v>100</v>
          </cell>
          <cell r="I303">
            <v>300000</v>
          </cell>
          <cell r="J303">
            <v>20000</v>
          </cell>
        </row>
        <row r="304">
          <cell r="A304" t="str">
            <v>0010-03394-01</v>
          </cell>
          <cell r="B304" t="str">
            <v>DLT 20GB Tape Cartridges (x5)</v>
          </cell>
          <cell r="C304">
            <v>695</v>
          </cell>
          <cell r="D304">
            <v>520</v>
          </cell>
          <cell r="E304">
            <v>610</v>
          </cell>
          <cell r="F304">
            <v>4000</v>
          </cell>
          <cell r="G304">
            <v>1190</v>
          </cell>
          <cell r="H304">
            <v>420</v>
          </cell>
          <cell r="I304">
            <v>1181000</v>
          </cell>
          <cell r="J304">
            <v>101500</v>
          </cell>
        </row>
        <row r="305">
          <cell r="A305" t="str">
            <v>0130-04161-01</v>
          </cell>
          <cell r="B305" t="str">
            <v>Archive II (Vol 2) Database Administration</v>
          </cell>
          <cell r="C305">
            <v>45</v>
          </cell>
          <cell r="D305">
            <v>30</v>
          </cell>
          <cell r="E305">
            <v>40</v>
          </cell>
          <cell r="F305">
            <v>270</v>
          </cell>
          <cell r="G305">
            <v>80</v>
          </cell>
          <cell r="H305">
            <v>30</v>
          </cell>
          <cell r="I305">
            <v>80000</v>
          </cell>
          <cell r="J305">
            <v>6900</v>
          </cell>
        </row>
        <row r="306">
          <cell r="A306" t="str">
            <v>0130-04162-01</v>
          </cell>
          <cell r="B306" t="str">
            <v>Archive II (Vol 1) User Guide</v>
          </cell>
          <cell r="C306">
            <v>35</v>
          </cell>
          <cell r="D306">
            <v>30</v>
          </cell>
          <cell r="E306">
            <v>30</v>
          </cell>
          <cell r="F306">
            <v>210</v>
          </cell>
          <cell r="G306">
            <v>60</v>
          </cell>
          <cell r="H306">
            <v>20</v>
          </cell>
          <cell r="I306">
            <v>62000</v>
          </cell>
          <cell r="J306">
            <v>5300</v>
          </cell>
        </row>
        <row r="307">
          <cell r="A307" t="str">
            <v>0130-04163-01</v>
          </cell>
          <cell r="B307" t="str">
            <v>AvidNet Peer-to-Peer File Transfer Doc Set</v>
          </cell>
          <cell r="C307">
            <v>150</v>
          </cell>
          <cell r="D307">
            <v>110</v>
          </cell>
          <cell r="E307">
            <v>140</v>
          </cell>
          <cell r="F307">
            <v>900</v>
          </cell>
          <cell r="G307">
            <v>270</v>
          </cell>
          <cell r="H307">
            <v>100</v>
          </cell>
          <cell r="I307">
            <v>266000</v>
          </cell>
          <cell r="J307">
            <v>22900</v>
          </cell>
        </row>
        <row r="308">
          <cell r="B308" t="str">
            <v>Avid Broadcast AirPlay Documentation Tool Set</v>
          </cell>
          <cell r="C308">
            <v>120</v>
          </cell>
          <cell r="D308">
            <v>90</v>
          </cell>
          <cell r="E308">
            <v>110</v>
          </cell>
          <cell r="F308">
            <v>720</v>
          </cell>
          <cell r="G308">
            <v>220</v>
          </cell>
          <cell r="H308">
            <v>80</v>
          </cell>
          <cell r="I308">
            <v>213000</v>
          </cell>
          <cell r="J308">
            <v>18300</v>
          </cell>
        </row>
        <row r="309">
          <cell r="A309" t="str">
            <v>0130-04164-01</v>
          </cell>
          <cell r="B309" t="str">
            <v>Avid Assistant Station  Doc Set</v>
          </cell>
          <cell r="C309">
            <v>400</v>
          </cell>
          <cell r="D309">
            <v>300</v>
          </cell>
          <cell r="E309">
            <v>370</v>
          </cell>
          <cell r="F309">
            <v>2400</v>
          </cell>
          <cell r="G309">
            <v>720</v>
          </cell>
          <cell r="H309">
            <v>250</v>
          </cell>
          <cell r="I309">
            <v>710000</v>
          </cell>
          <cell r="J309">
            <v>61000</v>
          </cell>
        </row>
        <row r="310">
          <cell r="A310" t="str">
            <v>0010-03396-01</v>
          </cell>
          <cell r="B310" t="str">
            <v>EDL Manager Manuals -  German</v>
          </cell>
          <cell r="C310">
            <v>35</v>
          </cell>
          <cell r="D310">
            <v>30</v>
          </cell>
          <cell r="E310">
            <v>30</v>
          </cell>
          <cell r="F310">
            <v>210</v>
          </cell>
          <cell r="G310">
            <v>60</v>
          </cell>
          <cell r="H310">
            <v>20</v>
          </cell>
          <cell r="I310">
            <v>62000</v>
          </cell>
          <cell r="J310">
            <v>5300</v>
          </cell>
        </row>
        <row r="311">
          <cell r="A311" t="str">
            <v>0010-03397-01</v>
          </cell>
          <cell r="B311" t="str">
            <v>EDL Manager Manuals - French</v>
          </cell>
          <cell r="C311">
            <v>35</v>
          </cell>
          <cell r="D311">
            <v>30</v>
          </cell>
          <cell r="E311">
            <v>30</v>
          </cell>
          <cell r="F311">
            <v>210</v>
          </cell>
          <cell r="G311">
            <v>60</v>
          </cell>
          <cell r="H311">
            <v>20</v>
          </cell>
          <cell r="I311">
            <v>62000</v>
          </cell>
          <cell r="J311">
            <v>5300</v>
          </cell>
        </row>
        <row r="312">
          <cell r="A312" t="str">
            <v>0010-03398-01</v>
          </cell>
          <cell r="B312" t="str">
            <v>EDL Manager Manuals - Italian</v>
          </cell>
          <cell r="C312">
            <v>35</v>
          </cell>
          <cell r="D312">
            <v>30</v>
          </cell>
          <cell r="E312">
            <v>30</v>
          </cell>
          <cell r="F312">
            <v>210</v>
          </cell>
          <cell r="G312">
            <v>60</v>
          </cell>
          <cell r="H312">
            <v>20</v>
          </cell>
          <cell r="I312">
            <v>62000</v>
          </cell>
          <cell r="J312">
            <v>5300</v>
          </cell>
        </row>
        <row r="313">
          <cell r="B313" t="str">
            <v>EDL Manager Manuals -  Spanish</v>
          </cell>
          <cell r="C313">
            <v>35</v>
          </cell>
          <cell r="D313">
            <v>30</v>
          </cell>
          <cell r="E313">
            <v>30</v>
          </cell>
          <cell r="F313">
            <v>210</v>
          </cell>
          <cell r="G313">
            <v>60</v>
          </cell>
          <cell r="H313">
            <v>20</v>
          </cell>
          <cell r="I313">
            <v>62000</v>
          </cell>
          <cell r="J313">
            <v>5300</v>
          </cell>
        </row>
        <row r="314">
          <cell r="A314" t="str">
            <v>0010-03388-01</v>
          </cell>
          <cell r="B314" t="str">
            <v>Film Composer German doc. bundle  (cd &amp; hard copy)</v>
          </cell>
          <cell r="C314">
            <v>280</v>
          </cell>
          <cell r="D314">
            <v>210</v>
          </cell>
          <cell r="E314">
            <v>260</v>
          </cell>
          <cell r="F314">
            <v>1680</v>
          </cell>
          <cell r="G314">
            <v>500</v>
          </cell>
          <cell r="H314">
            <v>180</v>
          </cell>
          <cell r="I314">
            <v>497000</v>
          </cell>
          <cell r="J314">
            <v>42700</v>
          </cell>
        </row>
        <row r="315">
          <cell r="A315" t="str">
            <v>0010-03389-01</v>
          </cell>
          <cell r="B315" t="str">
            <v>Film Composer French doc. bundle (cd &amp; hard copy)</v>
          </cell>
          <cell r="C315">
            <v>280</v>
          </cell>
          <cell r="D315">
            <v>210</v>
          </cell>
          <cell r="E315">
            <v>260</v>
          </cell>
          <cell r="F315">
            <v>1680</v>
          </cell>
          <cell r="G315">
            <v>500</v>
          </cell>
          <cell r="H315">
            <v>180</v>
          </cell>
          <cell r="I315">
            <v>497000</v>
          </cell>
          <cell r="J315">
            <v>42700</v>
          </cell>
        </row>
        <row r="316">
          <cell r="A316" t="str">
            <v>0010-03390-01</v>
          </cell>
          <cell r="B316" t="str">
            <v>Film Composer Italian doc. bundle  (cd &amp; hard copy)</v>
          </cell>
          <cell r="C316">
            <v>280</v>
          </cell>
          <cell r="D316">
            <v>210</v>
          </cell>
          <cell r="E316">
            <v>260</v>
          </cell>
          <cell r="F316">
            <v>1680</v>
          </cell>
          <cell r="G316">
            <v>500</v>
          </cell>
          <cell r="H316">
            <v>180</v>
          </cell>
          <cell r="I316">
            <v>497000</v>
          </cell>
          <cell r="J316">
            <v>42700</v>
          </cell>
        </row>
        <row r="317">
          <cell r="B317" t="str">
            <v>Film Composer Spanish doc. bundle  (cd &amp; hard copy)</v>
          </cell>
          <cell r="C317">
            <v>280</v>
          </cell>
          <cell r="D317">
            <v>210</v>
          </cell>
          <cell r="E317">
            <v>260</v>
          </cell>
          <cell r="F317">
            <v>1680</v>
          </cell>
          <cell r="G317">
            <v>500</v>
          </cell>
          <cell r="H317">
            <v>180</v>
          </cell>
          <cell r="I317">
            <v>497000</v>
          </cell>
          <cell r="J317">
            <v>42700</v>
          </cell>
        </row>
        <row r="318">
          <cell r="A318" t="str">
            <v>0010-03391-01</v>
          </cell>
          <cell r="B318" t="str">
            <v>Media Composer German doc. bundle  (cd &amp; hard copy)</v>
          </cell>
          <cell r="C318">
            <v>230</v>
          </cell>
          <cell r="D318">
            <v>170</v>
          </cell>
          <cell r="E318">
            <v>210</v>
          </cell>
          <cell r="F318">
            <v>1380</v>
          </cell>
          <cell r="G318">
            <v>410</v>
          </cell>
          <cell r="H318">
            <v>150</v>
          </cell>
          <cell r="I318">
            <v>408000</v>
          </cell>
          <cell r="J318">
            <v>35100</v>
          </cell>
        </row>
        <row r="319">
          <cell r="A319" t="str">
            <v>0010-03392-01</v>
          </cell>
          <cell r="B319" t="str">
            <v>Media Composer French doc. bundle (cd &amp; hard copy)</v>
          </cell>
          <cell r="C319">
            <v>230</v>
          </cell>
          <cell r="D319">
            <v>170</v>
          </cell>
          <cell r="E319">
            <v>210</v>
          </cell>
          <cell r="F319">
            <v>1380</v>
          </cell>
          <cell r="G319">
            <v>410</v>
          </cell>
          <cell r="H319">
            <v>150</v>
          </cell>
          <cell r="I319">
            <v>408000</v>
          </cell>
          <cell r="J319">
            <v>35100</v>
          </cell>
        </row>
        <row r="320">
          <cell r="A320" t="str">
            <v>0010-03393-01</v>
          </cell>
          <cell r="B320" t="str">
            <v>Media Composer Italian doc. bundle  (cd &amp; hard copy)</v>
          </cell>
          <cell r="C320">
            <v>230</v>
          </cell>
          <cell r="D320">
            <v>170</v>
          </cell>
          <cell r="E320">
            <v>210</v>
          </cell>
          <cell r="F320">
            <v>1380</v>
          </cell>
          <cell r="G320">
            <v>410</v>
          </cell>
          <cell r="H320">
            <v>150</v>
          </cell>
          <cell r="I320">
            <v>408000</v>
          </cell>
          <cell r="J320">
            <v>35100</v>
          </cell>
        </row>
        <row r="321">
          <cell r="B321" t="str">
            <v>Media Composer Spanish doc. bundle  (cd &amp; hard copy)</v>
          </cell>
          <cell r="C321">
            <v>230</v>
          </cell>
          <cell r="D321">
            <v>170</v>
          </cell>
          <cell r="E321">
            <v>210</v>
          </cell>
          <cell r="F321">
            <v>1380</v>
          </cell>
          <cell r="G321">
            <v>410</v>
          </cell>
          <cell r="H321">
            <v>150</v>
          </cell>
          <cell r="I321">
            <v>408000</v>
          </cell>
          <cell r="J321">
            <v>35100</v>
          </cell>
        </row>
        <row r="322">
          <cell r="B322" t="str">
            <v>MCXpress Mac German doc. bundle  (cd &amp; hard copy)</v>
          </cell>
          <cell r="C322">
            <v>260</v>
          </cell>
          <cell r="D322">
            <v>200</v>
          </cell>
          <cell r="E322">
            <v>240</v>
          </cell>
          <cell r="F322">
            <v>1560</v>
          </cell>
          <cell r="G322">
            <v>470</v>
          </cell>
          <cell r="H322">
            <v>160</v>
          </cell>
          <cell r="I322">
            <v>461000</v>
          </cell>
          <cell r="J322">
            <v>39600</v>
          </cell>
        </row>
        <row r="323">
          <cell r="B323" t="str">
            <v>MCXpress Mac French doc. bundle (cd &amp; hard copy)</v>
          </cell>
          <cell r="C323">
            <v>260</v>
          </cell>
          <cell r="D323">
            <v>200</v>
          </cell>
          <cell r="E323">
            <v>240</v>
          </cell>
          <cell r="F323">
            <v>1560</v>
          </cell>
          <cell r="G323">
            <v>470</v>
          </cell>
          <cell r="H323">
            <v>160</v>
          </cell>
          <cell r="I323">
            <v>461000</v>
          </cell>
          <cell r="J323">
            <v>39600</v>
          </cell>
        </row>
        <row r="324">
          <cell r="B324" t="str">
            <v>MCXpress Mac Italian doc. bundle  (cd &amp; hard copy)</v>
          </cell>
          <cell r="C324">
            <v>260</v>
          </cell>
          <cell r="D324">
            <v>200</v>
          </cell>
          <cell r="E324">
            <v>240</v>
          </cell>
          <cell r="F324">
            <v>1560</v>
          </cell>
          <cell r="G324">
            <v>470</v>
          </cell>
          <cell r="H324">
            <v>160</v>
          </cell>
          <cell r="I324">
            <v>461000</v>
          </cell>
          <cell r="J324">
            <v>39600</v>
          </cell>
        </row>
        <row r="325">
          <cell r="B325" t="str">
            <v>MCXpress Mac Spanish doc. bundle  (cd &amp; hard copy)</v>
          </cell>
          <cell r="C325">
            <v>260</v>
          </cell>
          <cell r="D325">
            <v>200</v>
          </cell>
          <cell r="E325">
            <v>240</v>
          </cell>
          <cell r="F325">
            <v>1560</v>
          </cell>
          <cell r="G325">
            <v>470</v>
          </cell>
          <cell r="H325">
            <v>160</v>
          </cell>
          <cell r="I325">
            <v>461000</v>
          </cell>
          <cell r="J325">
            <v>39600</v>
          </cell>
        </row>
        <row r="326">
          <cell r="A326" t="str">
            <v>0130-04165-01</v>
          </cell>
          <cell r="B326" t="str">
            <v>Media &amp; Film Composer ONLINE Guides (all languages)</v>
          </cell>
          <cell r="C326">
            <v>30</v>
          </cell>
          <cell r="D326">
            <v>20</v>
          </cell>
          <cell r="E326">
            <v>30</v>
          </cell>
          <cell r="F326">
            <v>180</v>
          </cell>
          <cell r="G326">
            <v>50</v>
          </cell>
          <cell r="H326">
            <v>20</v>
          </cell>
          <cell r="I326">
            <v>53000</v>
          </cell>
          <cell r="J326">
            <v>4600</v>
          </cell>
        </row>
        <row r="327">
          <cell r="B327" t="str">
            <v>MCX Mac ONLINE User &amp; Effects Guides (all languages)</v>
          </cell>
          <cell r="C327">
            <v>30</v>
          </cell>
          <cell r="D327">
            <v>20</v>
          </cell>
          <cell r="E327">
            <v>30</v>
          </cell>
          <cell r="F327">
            <v>180</v>
          </cell>
          <cell r="G327">
            <v>50</v>
          </cell>
          <cell r="H327">
            <v>20</v>
          </cell>
          <cell r="I327">
            <v>53000</v>
          </cell>
          <cell r="J327">
            <v>4600</v>
          </cell>
        </row>
        <row r="328">
          <cell r="B328" t="str">
            <v>Console User Guide</v>
          </cell>
          <cell r="C328">
            <v>25</v>
          </cell>
          <cell r="D328">
            <v>20</v>
          </cell>
          <cell r="E328">
            <v>20</v>
          </cell>
          <cell r="F328">
            <v>150</v>
          </cell>
          <cell r="G328">
            <v>40</v>
          </cell>
          <cell r="H328">
            <v>20</v>
          </cell>
          <cell r="I328">
            <v>44000</v>
          </cell>
          <cell r="J328">
            <v>3800</v>
          </cell>
        </row>
        <row r="329">
          <cell r="A329" t="str">
            <v>0130-04166-01</v>
          </cell>
          <cell r="B329" t="str">
            <v>Digital Film Making - by Tom Ohanian &amp; Michael Philips</v>
          </cell>
          <cell r="C329">
            <v>125</v>
          </cell>
          <cell r="D329">
            <v>90</v>
          </cell>
          <cell r="E329">
            <v>110</v>
          </cell>
          <cell r="F329">
            <v>750</v>
          </cell>
          <cell r="G329">
            <v>220</v>
          </cell>
          <cell r="H329">
            <v>80</v>
          </cell>
          <cell r="I329">
            <v>222000</v>
          </cell>
          <cell r="J329">
            <v>19100</v>
          </cell>
        </row>
        <row r="330">
          <cell r="A330" t="str">
            <v>0130-04167-01</v>
          </cell>
          <cell r="B330" t="str">
            <v>Media Composer Effects Guide x 10 Copies</v>
          </cell>
          <cell r="C330">
            <v>550</v>
          </cell>
          <cell r="D330">
            <v>410</v>
          </cell>
          <cell r="E330">
            <v>500</v>
          </cell>
          <cell r="F330">
            <v>3310</v>
          </cell>
          <cell r="G330">
            <v>990</v>
          </cell>
          <cell r="H330">
            <v>350</v>
          </cell>
          <cell r="I330">
            <v>976000</v>
          </cell>
          <cell r="J330">
            <v>83800</v>
          </cell>
        </row>
        <row r="331">
          <cell r="B331" t="str">
            <v>User Guide, Tutorial etc... for MCXM / ERM  Bundle</v>
          </cell>
          <cell r="C331">
            <v>199</v>
          </cell>
          <cell r="D331">
            <v>150</v>
          </cell>
          <cell r="E331">
            <v>180</v>
          </cell>
          <cell r="F331">
            <v>1200</v>
          </cell>
          <cell r="G331">
            <v>360</v>
          </cell>
          <cell r="H331">
            <v>130</v>
          </cell>
          <cell r="I331">
            <v>353000</v>
          </cell>
          <cell r="J331">
            <v>30300</v>
          </cell>
        </row>
        <row r="332">
          <cell r="B332" t="str">
            <v>User Guide, Tutorial etc... for MCXW / ERW Bundle</v>
          </cell>
          <cell r="C332">
            <v>199</v>
          </cell>
          <cell r="D332">
            <v>150</v>
          </cell>
          <cell r="E332">
            <v>180</v>
          </cell>
          <cell r="F332">
            <v>1200</v>
          </cell>
          <cell r="G332">
            <v>360</v>
          </cell>
          <cell r="H332">
            <v>130</v>
          </cell>
          <cell r="I332">
            <v>353000</v>
          </cell>
          <cell r="J332">
            <v>30300</v>
          </cell>
        </row>
        <row r="333">
          <cell r="A333" t="str">
            <v>0130-04168-01</v>
          </cell>
          <cell r="B333" t="str">
            <v>PCI Media Composer Open Me First</v>
          </cell>
          <cell r="C333">
            <v>240</v>
          </cell>
          <cell r="D333">
            <v>180</v>
          </cell>
          <cell r="E333">
            <v>220</v>
          </cell>
          <cell r="F333">
            <v>1440</v>
          </cell>
          <cell r="G333">
            <v>430</v>
          </cell>
          <cell r="H333">
            <v>150</v>
          </cell>
          <cell r="I333">
            <v>426000</v>
          </cell>
          <cell r="J333">
            <v>36600</v>
          </cell>
        </row>
        <row r="334">
          <cell r="A334" t="str">
            <v>0130-04169-01</v>
          </cell>
          <cell r="B334" t="str">
            <v>Media Composer What's New Guide x 10 Copies (v7)</v>
          </cell>
          <cell r="C334">
            <v>490</v>
          </cell>
          <cell r="D334">
            <v>370</v>
          </cell>
          <cell r="E334">
            <v>450</v>
          </cell>
          <cell r="F334">
            <v>2940</v>
          </cell>
          <cell r="G334">
            <v>880</v>
          </cell>
          <cell r="H334">
            <v>310</v>
          </cell>
          <cell r="I334">
            <v>869000</v>
          </cell>
          <cell r="J334">
            <v>74700</v>
          </cell>
        </row>
        <row r="335">
          <cell r="A335" t="str">
            <v>0130-04170-01</v>
          </cell>
          <cell r="B335" t="str">
            <v>MCS Operations Manual</v>
          </cell>
          <cell r="C335">
            <v>45</v>
          </cell>
          <cell r="D335">
            <v>30</v>
          </cell>
          <cell r="E335">
            <v>40</v>
          </cell>
          <cell r="F335">
            <v>270</v>
          </cell>
          <cell r="G335">
            <v>80</v>
          </cell>
          <cell r="H335">
            <v>30</v>
          </cell>
          <cell r="I335">
            <v>80000</v>
          </cell>
          <cell r="J335">
            <v>6900</v>
          </cell>
        </row>
        <row r="336">
          <cell r="A336" t="str">
            <v>0130-04171-01</v>
          </cell>
          <cell r="B336" t="str">
            <v>MCS User Guide</v>
          </cell>
          <cell r="C336">
            <v>35</v>
          </cell>
          <cell r="D336">
            <v>30</v>
          </cell>
          <cell r="E336">
            <v>30</v>
          </cell>
          <cell r="F336">
            <v>210</v>
          </cell>
          <cell r="G336">
            <v>60</v>
          </cell>
          <cell r="H336">
            <v>20</v>
          </cell>
          <cell r="I336">
            <v>62000</v>
          </cell>
          <cell r="J336">
            <v>5300</v>
          </cell>
        </row>
        <row r="337">
          <cell r="A337" t="str">
            <v>0130-04172-01</v>
          </cell>
          <cell r="B337" t="str">
            <v>10 X Media Composer User's Guide  (version 7.x)</v>
          </cell>
          <cell r="C337">
            <v>1200</v>
          </cell>
          <cell r="D337">
            <v>900</v>
          </cell>
          <cell r="E337">
            <v>1100</v>
          </cell>
          <cell r="F337">
            <v>7210</v>
          </cell>
          <cell r="G337">
            <v>2150</v>
          </cell>
          <cell r="H337">
            <v>760</v>
          </cell>
          <cell r="I337">
            <v>2129000</v>
          </cell>
          <cell r="J337">
            <v>182900</v>
          </cell>
        </row>
        <row r="338">
          <cell r="A338" t="str">
            <v>0130-04173-01</v>
          </cell>
          <cell r="B338" t="str">
            <v>Avid MediaLog (Mac) Maunual Set</v>
          </cell>
          <cell r="C338">
            <v>45</v>
          </cell>
          <cell r="D338">
            <v>30</v>
          </cell>
          <cell r="E338">
            <v>40</v>
          </cell>
          <cell r="F338">
            <v>270</v>
          </cell>
          <cell r="G338">
            <v>80</v>
          </cell>
          <cell r="H338">
            <v>30</v>
          </cell>
          <cell r="I338">
            <v>80000</v>
          </cell>
          <cell r="J338">
            <v>6900</v>
          </cell>
        </row>
        <row r="339">
          <cell r="A339" t="str">
            <v>0130-04174-01</v>
          </cell>
          <cell r="B339" t="str">
            <v>Avid MediaLog (PC) Maunual Set</v>
          </cell>
          <cell r="C339">
            <v>195</v>
          </cell>
          <cell r="D339">
            <v>150</v>
          </cell>
          <cell r="E339">
            <v>180</v>
          </cell>
          <cell r="F339">
            <v>1170</v>
          </cell>
          <cell r="G339">
            <v>350</v>
          </cell>
          <cell r="H339">
            <v>120</v>
          </cell>
          <cell r="I339">
            <v>346000</v>
          </cell>
          <cell r="J339">
            <v>29700</v>
          </cell>
        </row>
        <row r="340">
          <cell r="B340" t="str">
            <v>Avid Broadcast Media Recorder Doc Set</v>
          </cell>
          <cell r="C340">
            <v>120</v>
          </cell>
          <cell r="D340">
            <v>90</v>
          </cell>
          <cell r="E340">
            <v>110</v>
          </cell>
          <cell r="F340">
            <v>720</v>
          </cell>
          <cell r="G340">
            <v>220</v>
          </cell>
          <cell r="H340">
            <v>80</v>
          </cell>
          <cell r="I340">
            <v>213000</v>
          </cell>
          <cell r="J340">
            <v>18300</v>
          </cell>
        </row>
        <row r="341">
          <cell r="A341" t="str">
            <v>0130-04175-01</v>
          </cell>
          <cell r="B341" t="str">
            <v>Avid Media Recorder TeleCine Doc Set</v>
          </cell>
          <cell r="C341">
            <v>100</v>
          </cell>
          <cell r="D341">
            <v>80</v>
          </cell>
          <cell r="E341">
            <v>90</v>
          </cell>
          <cell r="F341">
            <v>600</v>
          </cell>
          <cell r="G341">
            <v>180</v>
          </cell>
          <cell r="H341">
            <v>60</v>
          </cell>
          <cell r="I341">
            <v>177000</v>
          </cell>
          <cell r="J341">
            <v>15200</v>
          </cell>
        </row>
        <row r="342">
          <cell r="B342" t="str">
            <v>Avid Broadcast NewsCutter Doc Set</v>
          </cell>
          <cell r="C342">
            <v>300</v>
          </cell>
          <cell r="D342">
            <v>230</v>
          </cell>
          <cell r="E342">
            <v>270</v>
          </cell>
          <cell r="F342">
            <v>1800</v>
          </cell>
          <cell r="G342">
            <v>540</v>
          </cell>
          <cell r="H342">
            <v>190</v>
          </cell>
          <cell r="I342">
            <v>532000</v>
          </cell>
          <cell r="J342">
            <v>45700</v>
          </cell>
        </row>
        <row r="343">
          <cell r="B343" t="str">
            <v>Release 14 News Operations Manual</v>
          </cell>
          <cell r="C343">
            <v>120</v>
          </cell>
          <cell r="D343">
            <v>90</v>
          </cell>
          <cell r="E343">
            <v>110</v>
          </cell>
          <cell r="F343">
            <v>720</v>
          </cell>
          <cell r="G343">
            <v>220</v>
          </cell>
          <cell r="H343">
            <v>80</v>
          </cell>
          <cell r="I343">
            <v>213000</v>
          </cell>
          <cell r="J343">
            <v>18300</v>
          </cell>
        </row>
        <row r="344">
          <cell r="B344" t="str">
            <v>Release 14 News User Guide VT/NSDOS</v>
          </cell>
          <cell r="C344">
            <v>45</v>
          </cell>
          <cell r="D344">
            <v>30</v>
          </cell>
          <cell r="E344">
            <v>40</v>
          </cell>
          <cell r="F344">
            <v>270</v>
          </cell>
          <cell r="G344">
            <v>80</v>
          </cell>
          <cell r="H344">
            <v>30</v>
          </cell>
          <cell r="I344">
            <v>80000</v>
          </cell>
          <cell r="J344">
            <v>6900</v>
          </cell>
        </row>
        <row r="345">
          <cell r="B345" t="str">
            <v>Release 14 News User Guide NSWIN</v>
          </cell>
          <cell r="C345">
            <v>45</v>
          </cell>
          <cell r="D345">
            <v>30</v>
          </cell>
          <cell r="E345">
            <v>40</v>
          </cell>
          <cell r="F345">
            <v>270</v>
          </cell>
          <cell r="G345">
            <v>80</v>
          </cell>
          <cell r="H345">
            <v>30</v>
          </cell>
          <cell r="I345">
            <v>80000</v>
          </cell>
          <cell r="J345">
            <v>6900</v>
          </cell>
        </row>
        <row r="346">
          <cell r="B346" t="str">
            <v>PET Operations Manual</v>
          </cell>
          <cell r="C346">
            <v>45</v>
          </cell>
          <cell r="D346">
            <v>30</v>
          </cell>
          <cell r="E346">
            <v>40</v>
          </cell>
          <cell r="F346">
            <v>270</v>
          </cell>
          <cell r="G346">
            <v>80</v>
          </cell>
          <cell r="H346">
            <v>30</v>
          </cell>
          <cell r="I346">
            <v>80000</v>
          </cell>
          <cell r="J346">
            <v>6900</v>
          </cell>
        </row>
        <row r="347">
          <cell r="B347" t="str">
            <v>PET User Guide</v>
          </cell>
          <cell r="C347">
            <v>35</v>
          </cell>
          <cell r="D347">
            <v>30</v>
          </cell>
          <cell r="E347">
            <v>30</v>
          </cell>
          <cell r="F347">
            <v>210</v>
          </cell>
          <cell r="G347">
            <v>60</v>
          </cell>
          <cell r="H347">
            <v>20</v>
          </cell>
          <cell r="I347">
            <v>62000</v>
          </cell>
          <cell r="J347">
            <v>5300</v>
          </cell>
        </row>
        <row r="348">
          <cell r="A348" t="str">
            <v>0130-04177-01</v>
          </cell>
          <cell r="B348" t="str">
            <v>Xpress for Mac Getting Started x 10 Copies  (v2)</v>
          </cell>
          <cell r="C348">
            <v>990</v>
          </cell>
          <cell r="D348">
            <v>740</v>
          </cell>
          <cell r="E348">
            <v>910</v>
          </cell>
          <cell r="F348">
            <v>5950</v>
          </cell>
          <cell r="G348">
            <v>1770</v>
          </cell>
          <cell r="H348">
            <v>630</v>
          </cell>
          <cell r="I348">
            <v>1756000</v>
          </cell>
          <cell r="J348">
            <v>150900</v>
          </cell>
        </row>
        <row r="349">
          <cell r="A349" t="str">
            <v>0130-04176-01</v>
          </cell>
          <cell r="B349" t="str">
            <v>Xpress for Mac What's New Guide x 10 Copies  (v2)</v>
          </cell>
          <cell r="C349">
            <v>490</v>
          </cell>
          <cell r="D349">
            <v>370</v>
          </cell>
          <cell r="E349">
            <v>450</v>
          </cell>
          <cell r="F349">
            <v>2940</v>
          </cell>
          <cell r="G349">
            <v>880</v>
          </cell>
          <cell r="H349">
            <v>310</v>
          </cell>
          <cell r="I349">
            <v>869000</v>
          </cell>
          <cell r="J349">
            <v>74700</v>
          </cell>
        </row>
        <row r="350">
          <cell r="B350" t="str">
            <v>Broadcast Products Dongle Hardware Lock</v>
          </cell>
          <cell r="C350">
            <v>85</v>
          </cell>
          <cell r="D350">
            <v>60</v>
          </cell>
          <cell r="E350">
            <v>80</v>
          </cell>
          <cell r="F350">
            <v>510</v>
          </cell>
          <cell r="G350">
            <v>150</v>
          </cell>
          <cell r="H350">
            <v>50</v>
          </cell>
          <cell r="I350">
            <v>151000</v>
          </cell>
          <cell r="J350">
            <v>13000</v>
          </cell>
        </row>
        <row r="351">
          <cell r="B351" t="str">
            <v>Media Composer Products Dongle Hardware Lock</v>
          </cell>
          <cell r="C351">
            <v>85</v>
          </cell>
          <cell r="D351">
            <v>60</v>
          </cell>
          <cell r="E351">
            <v>80</v>
          </cell>
          <cell r="F351">
            <v>510</v>
          </cell>
          <cell r="G351">
            <v>150</v>
          </cell>
          <cell r="H351">
            <v>50</v>
          </cell>
          <cell r="I351">
            <v>151000</v>
          </cell>
          <cell r="J351">
            <v>13000</v>
          </cell>
        </row>
        <row r="352">
          <cell r="B352" t="str">
            <v>Effects daughter board for Advanced JPEG</v>
          </cell>
          <cell r="C352">
            <v>2550</v>
          </cell>
          <cell r="D352">
            <v>1900</v>
          </cell>
          <cell r="E352">
            <v>2300</v>
          </cell>
          <cell r="F352">
            <v>15300</v>
          </cell>
          <cell r="G352">
            <v>4600</v>
          </cell>
          <cell r="H352">
            <v>1600</v>
          </cell>
          <cell r="I352">
            <v>4500000</v>
          </cell>
          <cell r="J352">
            <v>390000</v>
          </cell>
        </row>
        <row r="353">
          <cell r="B353" t="str">
            <v>SI Eddie to Media Illusion Multi CPU Upgrade</v>
          </cell>
          <cell r="C353">
            <v>18000</v>
          </cell>
          <cell r="D353">
            <v>13500</v>
          </cell>
          <cell r="E353">
            <v>16500</v>
          </cell>
          <cell r="F353">
            <v>108200</v>
          </cell>
          <cell r="G353">
            <v>32300</v>
          </cell>
          <cell r="H353">
            <v>11400</v>
          </cell>
          <cell r="I353">
            <v>31900000</v>
          </cell>
          <cell r="J353">
            <v>2740000</v>
          </cell>
        </row>
        <row r="354">
          <cell r="B354" t="str">
            <v>SI Eddie to Media Illusion Upgrade</v>
          </cell>
          <cell r="C354">
            <v>16000</v>
          </cell>
          <cell r="D354">
            <v>12000</v>
          </cell>
          <cell r="E354">
            <v>14700</v>
          </cell>
          <cell r="F354">
            <v>96200</v>
          </cell>
          <cell r="G354">
            <v>28700</v>
          </cell>
          <cell r="H354">
            <v>10100</v>
          </cell>
          <cell r="I354">
            <v>28400000</v>
          </cell>
          <cell r="J354">
            <v>2440000</v>
          </cell>
        </row>
        <row r="355">
          <cell r="B355" t="str">
            <v>Adaptor-ASANTE 10T Ethernet</v>
          </cell>
          <cell r="C355">
            <v>100</v>
          </cell>
          <cell r="D355">
            <v>80</v>
          </cell>
          <cell r="E355">
            <v>90</v>
          </cell>
          <cell r="F355">
            <v>600</v>
          </cell>
          <cell r="G355">
            <v>180</v>
          </cell>
          <cell r="H355">
            <v>60</v>
          </cell>
          <cell r="I355">
            <v>177000</v>
          </cell>
          <cell r="J355">
            <v>15200</v>
          </cell>
        </row>
        <row r="356">
          <cell r="A356" t="str">
            <v>0080-03003-01</v>
          </cell>
          <cell r="B356" t="str">
            <v>HUB Ethernet</v>
          </cell>
          <cell r="C356">
            <v>440</v>
          </cell>
          <cell r="D356">
            <v>330</v>
          </cell>
          <cell r="E356">
            <v>390</v>
          </cell>
          <cell r="F356">
            <v>2530</v>
          </cell>
          <cell r="G356">
            <v>760</v>
          </cell>
          <cell r="H356">
            <v>270</v>
          </cell>
          <cell r="I356">
            <v>748000</v>
          </cell>
          <cell r="J356">
            <v>64300</v>
          </cell>
        </row>
        <row r="357">
          <cell r="B357" t="str">
            <v>Enet Server Hub</v>
          </cell>
          <cell r="C357">
            <v>4800</v>
          </cell>
          <cell r="D357">
            <v>3600</v>
          </cell>
          <cell r="E357">
            <v>4400</v>
          </cell>
          <cell r="F357">
            <v>28800</v>
          </cell>
          <cell r="G357">
            <v>8600</v>
          </cell>
          <cell r="H357">
            <v>3000</v>
          </cell>
          <cell r="I357">
            <v>8500000</v>
          </cell>
          <cell r="J357">
            <v>730000</v>
          </cell>
        </row>
        <row r="358">
          <cell r="B358" t="str">
            <v>Cabletron 10Base T transceiver (for Media Server)</v>
          </cell>
          <cell r="C358">
            <v>220</v>
          </cell>
          <cell r="D358">
            <v>170</v>
          </cell>
          <cell r="E358">
            <v>200</v>
          </cell>
          <cell r="F358">
            <v>1320</v>
          </cell>
          <cell r="G358">
            <v>390</v>
          </cell>
          <cell r="H358">
            <v>140</v>
          </cell>
          <cell r="I358">
            <v>390000</v>
          </cell>
          <cell r="J358">
            <v>33500</v>
          </cell>
        </row>
        <row r="359">
          <cell r="B359" t="str">
            <v>Avid Enhancement board</v>
          </cell>
          <cell r="C359">
            <v>2995</v>
          </cell>
          <cell r="D359">
            <v>2200</v>
          </cell>
          <cell r="E359">
            <v>2700</v>
          </cell>
          <cell r="F359">
            <v>18000</v>
          </cell>
          <cell r="G359">
            <v>5400</v>
          </cell>
          <cell r="H359">
            <v>1900</v>
          </cell>
          <cell r="I359">
            <v>5300000</v>
          </cell>
          <cell r="J359">
            <v>460000</v>
          </cell>
        </row>
        <row r="360">
          <cell r="B360" t="str">
            <v>3DFX STAND ALONE MODULE CONT EXC REP</v>
          </cell>
          <cell r="C360">
            <v>4563</v>
          </cell>
          <cell r="D360">
            <v>3400</v>
          </cell>
          <cell r="E360">
            <v>4200</v>
          </cell>
          <cell r="F360">
            <v>27400</v>
          </cell>
          <cell r="G360">
            <v>8200</v>
          </cell>
          <cell r="H360">
            <v>2900</v>
          </cell>
          <cell r="I360">
            <v>8100000</v>
          </cell>
          <cell r="J360">
            <v>700000</v>
          </cell>
        </row>
        <row r="361">
          <cell r="B361" t="str">
            <v>9500 Motherboard Cont Exc Rep</v>
          </cell>
          <cell r="C361">
            <v>499</v>
          </cell>
          <cell r="D361">
            <v>370</v>
          </cell>
          <cell r="E361">
            <v>460</v>
          </cell>
          <cell r="F361">
            <v>3000</v>
          </cell>
          <cell r="G361">
            <v>890</v>
          </cell>
          <cell r="H361">
            <v>320</v>
          </cell>
          <cell r="I361">
            <v>885000</v>
          </cell>
          <cell r="J361">
            <v>76100</v>
          </cell>
        </row>
        <row r="362">
          <cell r="B362" t="str">
            <v>9600-200/233 Motherboard Cont Exc Rep</v>
          </cell>
          <cell r="C362">
            <v>1260</v>
          </cell>
          <cell r="D362">
            <v>950</v>
          </cell>
          <cell r="E362">
            <v>1150</v>
          </cell>
          <cell r="F362">
            <v>7570</v>
          </cell>
          <cell r="G362">
            <v>2260</v>
          </cell>
          <cell r="H362">
            <v>800</v>
          </cell>
          <cell r="I362">
            <v>2235000</v>
          </cell>
          <cell r="J362">
            <v>192100</v>
          </cell>
        </row>
        <row r="363">
          <cell r="B363" t="str">
            <v>ABVB BASE,GASK,COMP CONT EXC REP</v>
          </cell>
          <cell r="C363">
            <v>1580</v>
          </cell>
          <cell r="D363">
            <v>1190</v>
          </cell>
          <cell r="E363">
            <v>1450</v>
          </cell>
          <cell r="F363">
            <v>9500</v>
          </cell>
          <cell r="G363">
            <v>2830</v>
          </cell>
          <cell r="H363">
            <v>1000</v>
          </cell>
          <cell r="I363">
            <v>2803000</v>
          </cell>
          <cell r="J363">
            <v>240900</v>
          </cell>
        </row>
        <row r="364">
          <cell r="B364" t="str">
            <v xml:space="preserve">AMCI 16 CHANNEL BOARD CONT EXC REP    </v>
          </cell>
          <cell r="C364">
            <v>2744</v>
          </cell>
          <cell r="D364">
            <v>2100</v>
          </cell>
          <cell r="E364">
            <v>2500</v>
          </cell>
          <cell r="F364">
            <v>16500</v>
          </cell>
          <cell r="G364">
            <v>4900</v>
          </cell>
          <cell r="H364">
            <v>1700</v>
          </cell>
          <cell r="I364">
            <v>4900000</v>
          </cell>
          <cell r="J364">
            <v>420000</v>
          </cell>
        </row>
        <row r="365">
          <cell r="B365" t="str">
            <v xml:space="preserve">AMPLIFIER 220V CAN CONT EXC REP    </v>
          </cell>
          <cell r="C365">
            <v>404</v>
          </cell>
          <cell r="D365">
            <v>300</v>
          </cell>
          <cell r="E365">
            <v>370</v>
          </cell>
          <cell r="F365">
            <v>2430</v>
          </cell>
          <cell r="G365">
            <v>720</v>
          </cell>
          <cell r="H365">
            <v>260</v>
          </cell>
          <cell r="I365">
            <v>717000</v>
          </cell>
          <cell r="J365">
            <v>61600</v>
          </cell>
        </row>
        <row r="366">
          <cell r="B366" t="str">
            <v>AMP/8100 Motherboard Cont Exc Rep</v>
          </cell>
          <cell r="C366">
            <v>534</v>
          </cell>
          <cell r="D366">
            <v>400</v>
          </cell>
          <cell r="E366">
            <v>490</v>
          </cell>
          <cell r="F366">
            <v>3210</v>
          </cell>
          <cell r="G366">
            <v>960</v>
          </cell>
          <cell r="H366">
            <v>340</v>
          </cell>
          <cell r="I366">
            <v>947000</v>
          </cell>
          <cell r="J366">
            <v>81400</v>
          </cell>
        </row>
        <row r="367">
          <cell r="B367" t="str">
            <v>ATM Switch Module Cont Exc Rep</v>
          </cell>
          <cell r="C367">
            <v>3381</v>
          </cell>
          <cell r="D367">
            <v>2500</v>
          </cell>
          <cell r="E367">
            <v>3100</v>
          </cell>
          <cell r="F367">
            <v>20300</v>
          </cell>
          <cell r="G367">
            <v>6100</v>
          </cell>
          <cell r="H367">
            <v>2100</v>
          </cell>
          <cell r="I367">
            <v>6000000</v>
          </cell>
          <cell r="J367">
            <v>520000</v>
          </cell>
        </row>
        <row r="368">
          <cell r="B368" t="str">
            <v xml:space="preserve">ATM Switch Cont Exc Rep        </v>
          </cell>
          <cell r="C368">
            <v>8372</v>
          </cell>
          <cell r="D368">
            <v>6300</v>
          </cell>
          <cell r="E368">
            <v>7700</v>
          </cell>
          <cell r="F368">
            <v>50300</v>
          </cell>
          <cell r="G368">
            <v>15000</v>
          </cell>
          <cell r="H368">
            <v>5300</v>
          </cell>
          <cell r="I368">
            <v>14900000</v>
          </cell>
          <cell r="J368">
            <v>1280000</v>
          </cell>
        </row>
        <row r="369">
          <cell r="B369" t="str">
            <v>Fore System ATM Nubus Netcard Cont Exc Rep</v>
          </cell>
          <cell r="C369">
            <v>1127</v>
          </cell>
          <cell r="D369">
            <v>850</v>
          </cell>
          <cell r="E369">
            <v>1030</v>
          </cell>
          <cell r="F369">
            <v>6770</v>
          </cell>
          <cell r="G369">
            <v>2020</v>
          </cell>
          <cell r="H369">
            <v>710</v>
          </cell>
          <cell r="I369">
            <v>1999000</v>
          </cell>
          <cell r="J369">
            <v>171800</v>
          </cell>
        </row>
        <row r="370">
          <cell r="B370" t="str">
            <v>ATTO SE4D CONT EXC REP</v>
          </cell>
          <cell r="C370">
            <v>578</v>
          </cell>
          <cell r="D370">
            <v>430</v>
          </cell>
          <cell r="E370">
            <v>530</v>
          </cell>
          <cell r="F370">
            <v>3470</v>
          </cell>
          <cell r="G370">
            <v>1040</v>
          </cell>
          <cell r="H370">
            <v>370</v>
          </cell>
          <cell r="I370">
            <v>1025000</v>
          </cell>
          <cell r="J370">
            <v>88100</v>
          </cell>
        </row>
        <row r="371">
          <cell r="B371" t="str">
            <v xml:space="preserve">PCI ATTO EXPRESS CONT EXC REP </v>
          </cell>
          <cell r="C371">
            <v>490</v>
          </cell>
          <cell r="D371">
            <v>370</v>
          </cell>
          <cell r="E371">
            <v>450</v>
          </cell>
          <cell r="F371">
            <v>2940</v>
          </cell>
          <cell r="G371">
            <v>880</v>
          </cell>
          <cell r="H371">
            <v>310</v>
          </cell>
          <cell r="I371">
            <v>869000</v>
          </cell>
          <cell r="J371">
            <v>74700</v>
          </cell>
        </row>
        <row r="372">
          <cell r="B372" t="str">
            <v xml:space="preserve">PCI ATTO EXPRESS CONT EXC REP </v>
          </cell>
          <cell r="C372">
            <v>322</v>
          </cell>
          <cell r="D372">
            <v>240</v>
          </cell>
          <cell r="E372">
            <v>300</v>
          </cell>
          <cell r="F372">
            <v>1940</v>
          </cell>
          <cell r="G372">
            <v>580</v>
          </cell>
          <cell r="H372">
            <v>200</v>
          </cell>
          <cell r="I372">
            <v>571000</v>
          </cell>
          <cell r="J372">
            <v>49100</v>
          </cell>
        </row>
        <row r="373">
          <cell r="B373" t="str">
            <v xml:space="preserve">PCI ATTO EXPRESS DIFF CONT EXC REP        </v>
          </cell>
          <cell r="C373">
            <v>427</v>
          </cell>
          <cell r="D373">
            <v>320</v>
          </cell>
          <cell r="E373">
            <v>390</v>
          </cell>
          <cell r="F373">
            <v>2570</v>
          </cell>
          <cell r="G373">
            <v>770</v>
          </cell>
          <cell r="H373">
            <v>270</v>
          </cell>
          <cell r="I373">
            <v>758000</v>
          </cell>
          <cell r="J373">
            <v>65100</v>
          </cell>
        </row>
        <row r="374">
          <cell r="B374" t="str">
            <v>ATTO SE4 CONT EXC REP</v>
          </cell>
          <cell r="C374">
            <v>544</v>
          </cell>
          <cell r="D374">
            <v>410</v>
          </cell>
          <cell r="E374">
            <v>500</v>
          </cell>
          <cell r="F374">
            <v>3270</v>
          </cell>
          <cell r="G374">
            <v>970</v>
          </cell>
          <cell r="H374">
            <v>340</v>
          </cell>
          <cell r="I374">
            <v>965000</v>
          </cell>
          <cell r="J374">
            <v>82900</v>
          </cell>
        </row>
        <row r="375">
          <cell r="B375" t="str">
            <v xml:space="preserve">4X4 AUDIO INTERFACE CONT EXC REP </v>
          </cell>
          <cell r="C375">
            <v>760</v>
          </cell>
          <cell r="D375">
            <v>570</v>
          </cell>
          <cell r="E375">
            <v>700</v>
          </cell>
          <cell r="F375">
            <v>4570</v>
          </cell>
          <cell r="G375">
            <v>1360</v>
          </cell>
          <cell r="H375">
            <v>480</v>
          </cell>
          <cell r="I375">
            <v>1348000</v>
          </cell>
          <cell r="J375">
            <v>115900</v>
          </cell>
        </row>
        <row r="376">
          <cell r="B376" t="str">
            <v xml:space="preserve">AUDIO 8X8 DIGI CONT EXC REP  </v>
          </cell>
          <cell r="C376">
            <v>1568</v>
          </cell>
          <cell r="D376">
            <v>1180</v>
          </cell>
          <cell r="E376">
            <v>1440</v>
          </cell>
          <cell r="F376">
            <v>9420</v>
          </cell>
          <cell r="G376">
            <v>2810</v>
          </cell>
          <cell r="H376">
            <v>990</v>
          </cell>
          <cell r="I376">
            <v>2782000</v>
          </cell>
          <cell r="J376">
            <v>239000</v>
          </cell>
        </row>
        <row r="377">
          <cell r="B377" t="str">
            <v>AUDIOMEDIA II CONT EXC REP</v>
          </cell>
          <cell r="C377">
            <v>425</v>
          </cell>
          <cell r="D377">
            <v>320</v>
          </cell>
          <cell r="E377">
            <v>390</v>
          </cell>
          <cell r="F377">
            <v>2550</v>
          </cell>
          <cell r="G377">
            <v>760</v>
          </cell>
          <cell r="H377">
            <v>270</v>
          </cell>
          <cell r="I377">
            <v>754000</v>
          </cell>
          <cell r="J377">
            <v>64800</v>
          </cell>
        </row>
        <row r="378">
          <cell r="B378" t="str">
            <v xml:space="preserve">BBGEN CONT EXC REP </v>
          </cell>
          <cell r="C378">
            <v>455</v>
          </cell>
          <cell r="D378">
            <v>340</v>
          </cell>
          <cell r="E378">
            <v>420</v>
          </cell>
          <cell r="F378">
            <v>2730</v>
          </cell>
          <cell r="G378">
            <v>820</v>
          </cell>
          <cell r="H378">
            <v>290</v>
          </cell>
          <cell r="I378">
            <v>807000</v>
          </cell>
          <cell r="J378">
            <v>69400</v>
          </cell>
        </row>
        <row r="379">
          <cell r="B379" t="str">
            <v>9600-200/233 CD Drv 12X Cont Exc Rep</v>
          </cell>
          <cell r="C379">
            <v>254</v>
          </cell>
          <cell r="D379">
            <v>190</v>
          </cell>
          <cell r="E379">
            <v>230</v>
          </cell>
          <cell r="F379">
            <v>1530</v>
          </cell>
          <cell r="G379">
            <v>460</v>
          </cell>
          <cell r="H379">
            <v>160</v>
          </cell>
          <cell r="I379">
            <v>451000</v>
          </cell>
          <cell r="J379">
            <v>38700</v>
          </cell>
        </row>
        <row r="380">
          <cell r="B380" t="str">
            <v>9500-132/150 CD Drv 4X Cont Exc Rep</v>
          </cell>
          <cell r="C380">
            <v>176</v>
          </cell>
          <cell r="D380">
            <v>130</v>
          </cell>
          <cell r="E380">
            <v>160</v>
          </cell>
          <cell r="F380">
            <v>1060</v>
          </cell>
          <cell r="G380">
            <v>320</v>
          </cell>
          <cell r="H380">
            <v>110</v>
          </cell>
          <cell r="I380">
            <v>312000</v>
          </cell>
          <cell r="J380">
            <v>26800</v>
          </cell>
        </row>
        <row r="381">
          <cell r="B381" t="str">
            <v>9500-200 CD Drv 8X Cont Exc Rep</v>
          </cell>
          <cell r="C381">
            <v>260</v>
          </cell>
          <cell r="D381">
            <v>200</v>
          </cell>
          <cell r="E381">
            <v>240</v>
          </cell>
          <cell r="F381">
            <v>1560</v>
          </cell>
          <cell r="G381">
            <v>470</v>
          </cell>
          <cell r="H381">
            <v>160</v>
          </cell>
          <cell r="I381">
            <v>461000</v>
          </cell>
          <cell r="J381">
            <v>39600</v>
          </cell>
        </row>
        <row r="382">
          <cell r="B382" t="str">
            <v>MX500 Chassis Cont Exc Rep</v>
          </cell>
          <cell r="C382">
            <v>2000</v>
          </cell>
          <cell r="D382">
            <v>1500</v>
          </cell>
          <cell r="E382">
            <v>1830</v>
          </cell>
          <cell r="F382">
            <v>12020</v>
          </cell>
          <cell r="G382">
            <v>3580</v>
          </cell>
          <cell r="H382">
            <v>1270</v>
          </cell>
          <cell r="I382">
            <v>3548000</v>
          </cell>
          <cell r="J382">
            <v>304900</v>
          </cell>
        </row>
        <row r="383">
          <cell r="B383" t="str">
            <v xml:space="preserve">Spare Clariion Power Supply Cont Exc Rep        </v>
          </cell>
          <cell r="C383">
            <v>300</v>
          </cell>
          <cell r="D383">
            <v>230</v>
          </cell>
          <cell r="E383">
            <v>270</v>
          </cell>
          <cell r="F383">
            <v>1800</v>
          </cell>
          <cell r="G383">
            <v>540</v>
          </cell>
          <cell r="H383">
            <v>190</v>
          </cell>
          <cell r="I383">
            <v>532000</v>
          </cell>
          <cell r="J383">
            <v>45700</v>
          </cell>
        </row>
        <row r="384">
          <cell r="B384" t="str">
            <v xml:space="preserve"> AVID MEDIA PROCESSOR CONT EXC REP</v>
          </cell>
          <cell r="C384">
            <v>4408</v>
          </cell>
          <cell r="D384">
            <v>3300</v>
          </cell>
          <cell r="E384">
            <v>4000</v>
          </cell>
          <cell r="F384">
            <v>26500</v>
          </cell>
          <cell r="G384">
            <v>7900</v>
          </cell>
          <cell r="H384">
            <v>2800</v>
          </cell>
          <cell r="I384">
            <v>7800000</v>
          </cell>
          <cell r="J384">
            <v>670000</v>
          </cell>
        </row>
        <row r="385">
          <cell r="B385" t="str">
            <v xml:space="preserve">AVIDdrive 20GB DLT with 5 AutoLoad Cont Exc Rep    </v>
          </cell>
          <cell r="C385">
            <v>3661</v>
          </cell>
          <cell r="D385">
            <v>2700</v>
          </cell>
          <cell r="E385">
            <v>3400</v>
          </cell>
          <cell r="F385">
            <v>22000</v>
          </cell>
          <cell r="G385">
            <v>6600</v>
          </cell>
          <cell r="H385">
            <v>2300</v>
          </cell>
          <cell r="I385">
            <v>6500000</v>
          </cell>
          <cell r="J385">
            <v>560000</v>
          </cell>
        </row>
        <row r="386">
          <cell r="B386" t="str">
            <v>Avid DLT Drive, 20GB Cont Exc Rep</v>
          </cell>
          <cell r="C386">
            <v>4226</v>
          </cell>
          <cell r="D386">
            <v>3200</v>
          </cell>
          <cell r="E386">
            <v>3900</v>
          </cell>
          <cell r="F386">
            <v>25400</v>
          </cell>
          <cell r="G386">
            <v>7600</v>
          </cell>
          <cell r="H386">
            <v>2700</v>
          </cell>
          <cell r="I386">
            <v>7500000</v>
          </cell>
          <cell r="J386">
            <v>640000</v>
          </cell>
        </row>
        <row r="387">
          <cell r="B387" t="str">
            <v xml:space="preserve">AVIDdrive 35GB Cont Exc Rep        </v>
          </cell>
          <cell r="C387">
            <v>2748</v>
          </cell>
          <cell r="D387">
            <v>2100</v>
          </cell>
          <cell r="E387">
            <v>2500</v>
          </cell>
          <cell r="F387">
            <v>16500</v>
          </cell>
          <cell r="G387">
            <v>4900</v>
          </cell>
          <cell r="H387">
            <v>1700</v>
          </cell>
          <cell r="I387">
            <v>4900000</v>
          </cell>
          <cell r="J387">
            <v>420000</v>
          </cell>
        </row>
        <row r="388">
          <cell r="B388" t="str">
            <v xml:space="preserve">MANDRILL BOARD CONT EXC REP  </v>
          </cell>
          <cell r="C388">
            <v>1250</v>
          </cell>
          <cell r="D388">
            <v>940</v>
          </cell>
          <cell r="E388">
            <v>1150</v>
          </cell>
          <cell r="F388">
            <v>7510</v>
          </cell>
          <cell r="G388">
            <v>2240</v>
          </cell>
          <cell r="H388">
            <v>790</v>
          </cell>
          <cell r="I388">
            <v>2218000</v>
          </cell>
          <cell r="J388">
            <v>190600</v>
          </cell>
        </row>
        <row r="389">
          <cell r="B389" t="str">
            <v xml:space="preserve">ENHANCEMENT BOARD CONT EXC REP </v>
          </cell>
          <cell r="C389">
            <v>1468</v>
          </cell>
          <cell r="D389">
            <v>1100</v>
          </cell>
          <cell r="E389">
            <v>1350</v>
          </cell>
          <cell r="F389">
            <v>8820</v>
          </cell>
          <cell r="G389">
            <v>2630</v>
          </cell>
          <cell r="H389">
            <v>930</v>
          </cell>
          <cell r="I389">
            <v>2604000</v>
          </cell>
          <cell r="J389">
            <v>223800</v>
          </cell>
        </row>
        <row r="390">
          <cell r="B390" t="str">
            <v xml:space="preserve">2GB FIXED MICROPOLIS CONT EXC REP </v>
          </cell>
          <cell r="C390">
            <v>1519</v>
          </cell>
          <cell r="D390">
            <v>1140</v>
          </cell>
          <cell r="E390">
            <v>1390</v>
          </cell>
          <cell r="F390">
            <v>9130</v>
          </cell>
          <cell r="G390">
            <v>2720</v>
          </cell>
          <cell r="H390">
            <v>960</v>
          </cell>
          <cell r="I390">
            <v>2695000</v>
          </cell>
          <cell r="J390">
            <v>231600</v>
          </cell>
        </row>
        <row r="391">
          <cell r="B391" t="str">
            <v xml:space="preserve">3GB FIXED MICROPOLIS CONT EXC REP </v>
          </cell>
          <cell r="C391">
            <v>1838</v>
          </cell>
          <cell r="D391">
            <v>1380</v>
          </cell>
          <cell r="E391">
            <v>1680</v>
          </cell>
          <cell r="F391">
            <v>11050</v>
          </cell>
          <cell r="G391">
            <v>3290</v>
          </cell>
          <cell r="H391">
            <v>1160</v>
          </cell>
          <cell r="I391">
            <v>3261000</v>
          </cell>
          <cell r="J391">
            <v>280200</v>
          </cell>
        </row>
        <row r="392">
          <cell r="B392" t="str">
            <v xml:space="preserve">AVID 9GB 5.25" Fixed Drive Cont Exc Rep        </v>
          </cell>
          <cell r="C392">
            <v>1200</v>
          </cell>
          <cell r="D392">
            <v>900</v>
          </cell>
          <cell r="E392">
            <v>1100</v>
          </cell>
          <cell r="F392">
            <v>7210</v>
          </cell>
          <cell r="G392">
            <v>2150</v>
          </cell>
          <cell r="H392">
            <v>760</v>
          </cell>
          <cell r="I392">
            <v>2129000</v>
          </cell>
          <cell r="J392">
            <v>182900</v>
          </cell>
        </row>
        <row r="393">
          <cell r="B393" t="str">
            <v>1GB AMP/8100 Int HDrv Cont Exc Rep</v>
          </cell>
          <cell r="C393">
            <v>400</v>
          </cell>
          <cell r="D393">
            <v>300</v>
          </cell>
          <cell r="E393">
            <v>370</v>
          </cell>
          <cell r="F393">
            <v>2400</v>
          </cell>
          <cell r="G393">
            <v>720</v>
          </cell>
          <cell r="H393">
            <v>250</v>
          </cell>
          <cell r="I393">
            <v>710000</v>
          </cell>
          <cell r="J393">
            <v>61000</v>
          </cell>
        </row>
        <row r="394">
          <cell r="B394" t="str">
            <v>2GB 9500 Int HDrv Cont Exc Rep</v>
          </cell>
          <cell r="C394">
            <v>546</v>
          </cell>
          <cell r="D394">
            <v>410</v>
          </cell>
          <cell r="E394">
            <v>500</v>
          </cell>
          <cell r="F394">
            <v>3280</v>
          </cell>
          <cell r="G394">
            <v>980</v>
          </cell>
          <cell r="H394">
            <v>350</v>
          </cell>
          <cell r="I394">
            <v>969000</v>
          </cell>
          <cell r="J394">
            <v>83200</v>
          </cell>
        </row>
        <row r="395">
          <cell r="B395" t="str">
            <v>4GB 9600 Int HDrv Cont Exc Rep</v>
          </cell>
          <cell r="C395">
            <v>1370</v>
          </cell>
          <cell r="D395">
            <v>1030</v>
          </cell>
          <cell r="E395">
            <v>1260</v>
          </cell>
          <cell r="F395">
            <v>8230</v>
          </cell>
          <cell r="G395">
            <v>2460</v>
          </cell>
          <cell r="H395">
            <v>870</v>
          </cell>
          <cell r="I395">
            <v>2431000</v>
          </cell>
          <cell r="J395">
            <v>208900</v>
          </cell>
        </row>
        <row r="396">
          <cell r="B396" t="str">
            <v>JANUS BOARD CONT EXC REP</v>
          </cell>
          <cell r="C396">
            <v>1894</v>
          </cell>
          <cell r="D396">
            <v>1420</v>
          </cell>
          <cell r="E396">
            <v>1740</v>
          </cell>
          <cell r="F396">
            <v>11380</v>
          </cell>
          <cell r="G396">
            <v>3390</v>
          </cell>
          <cell r="H396">
            <v>1200</v>
          </cell>
          <cell r="I396">
            <v>3360000</v>
          </cell>
          <cell r="J396">
            <v>288700</v>
          </cell>
        </row>
        <row r="397">
          <cell r="B397" t="str">
            <v xml:space="preserve">JPEG3 CONT EXC REP </v>
          </cell>
          <cell r="C397">
            <v>792</v>
          </cell>
          <cell r="D397">
            <v>590</v>
          </cell>
          <cell r="E397">
            <v>730</v>
          </cell>
          <cell r="F397">
            <v>4760</v>
          </cell>
          <cell r="G397">
            <v>1420</v>
          </cell>
          <cell r="H397">
            <v>500</v>
          </cell>
          <cell r="I397">
            <v>1405000</v>
          </cell>
          <cell r="J397">
            <v>120700</v>
          </cell>
        </row>
        <row r="398">
          <cell r="B398" t="str">
            <v xml:space="preserve">JPEG4 CONT EXC REP  </v>
          </cell>
          <cell r="C398">
            <v>859</v>
          </cell>
          <cell r="D398">
            <v>640</v>
          </cell>
          <cell r="E398">
            <v>790</v>
          </cell>
          <cell r="F398">
            <v>5160</v>
          </cell>
          <cell r="G398">
            <v>1540</v>
          </cell>
          <cell r="H398">
            <v>540</v>
          </cell>
          <cell r="I398">
            <v>1524000</v>
          </cell>
          <cell r="J398">
            <v>131000</v>
          </cell>
        </row>
        <row r="399">
          <cell r="B399" t="str">
            <v xml:space="preserve">JPEG5 CONT EXC REP                      </v>
          </cell>
          <cell r="C399">
            <v>896</v>
          </cell>
          <cell r="D399">
            <v>670</v>
          </cell>
          <cell r="E399">
            <v>820</v>
          </cell>
          <cell r="F399">
            <v>5390</v>
          </cell>
          <cell r="G399">
            <v>1610</v>
          </cell>
          <cell r="H399">
            <v>570</v>
          </cell>
          <cell r="I399">
            <v>1590000</v>
          </cell>
          <cell r="J399">
            <v>136600</v>
          </cell>
        </row>
        <row r="400">
          <cell r="B400" t="str">
            <v xml:space="preserve">Media Dock Chassis (Rack) Cont Exc rep       </v>
          </cell>
          <cell r="C400">
            <v>1370</v>
          </cell>
          <cell r="D400">
            <v>1030</v>
          </cell>
          <cell r="E400">
            <v>1260</v>
          </cell>
          <cell r="F400">
            <v>8230</v>
          </cell>
          <cell r="G400">
            <v>2460</v>
          </cell>
          <cell r="H400">
            <v>870</v>
          </cell>
          <cell r="I400">
            <v>2431000</v>
          </cell>
          <cell r="J400">
            <v>208900</v>
          </cell>
        </row>
        <row r="401">
          <cell r="B401" t="str">
            <v xml:space="preserve">Media Dock Chassis (Tower) Cont Exc Rep       </v>
          </cell>
          <cell r="C401">
            <v>1272</v>
          </cell>
          <cell r="D401">
            <v>950</v>
          </cell>
          <cell r="E401">
            <v>1170</v>
          </cell>
          <cell r="F401">
            <v>7640</v>
          </cell>
          <cell r="G401">
            <v>2280</v>
          </cell>
          <cell r="H401">
            <v>810</v>
          </cell>
          <cell r="I401">
            <v>2257000</v>
          </cell>
          <cell r="J401">
            <v>193900</v>
          </cell>
        </row>
        <row r="402">
          <cell r="B402" t="str">
            <v xml:space="preserve">VITC MEDIA READER CONT EXC REP </v>
          </cell>
          <cell r="C402">
            <v>1911</v>
          </cell>
          <cell r="D402">
            <v>1430</v>
          </cell>
          <cell r="E402">
            <v>1750</v>
          </cell>
          <cell r="F402">
            <v>11490</v>
          </cell>
          <cell r="G402">
            <v>3420</v>
          </cell>
          <cell r="H402">
            <v>1210</v>
          </cell>
          <cell r="I402">
            <v>3390000</v>
          </cell>
          <cell r="J402">
            <v>291300</v>
          </cell>
        </row>
        <row r="403">
          <cell r="B403" t="str">
            <v xml:space="preserve">4MB MEM FOR JPEG CONT EXC REP  </v>
          </cell>
          <cell r="C403">
            <v>451</v>
          </cell>
          <cell r="D403">
            <v>340</v>
          </cell>
          <cell r="E403">
            <v>410</v>
          </cell>
          <cell r="F403">
            <v>2710</v>
          </cell>
          <cell r="G403">
            <v>810</v>
          </cell>
          <cell r="H403">
            <v>290</v>
          </cell>
          <cell r="I403">
            <v>800000</v>
          </cell>
          <cell r="J403">
            <v>68800</v>
          </cell>
        </row>
        <row r="404">
          <cell r="B404" t="str">
            <v xml:space="preserve">MICROLYNX CONT EXC REP     </v>
          </cell>
          <cell r="C404">
            <v>2328</v>
          </cell>
          <cell r="D404">
            <v>1700</v>
          </cell>
          <cell r="E404">
            <v>2100</v>
          </cell>
          <cell r="F404">
            <v>14000</v>
          </cell>
          <cell r="G404">
            <v>4200</v>
          </cell>
          <cell r="H404">
            <v>1500</v>
          </cell>
          <cell r="I404">
            <v>4100000</v>
          </cell>
          <cell r="J404">
            <v>350000</v>
          </cell>
        </row>
        <row r="405">
          <cell r="B405" t="str">
            <v xml:space="preserve">NUVISTA PAL ONLY CONT EXC REP   </v>
          </cell>
          <cell r="C405">
            <v>897</v>
          </cell>
          <cell r="D405">
            <v>670</v>
          </cell>
          <cell r="E405">
            <v>820</v>
          </cell>
          <cell r="F405">
            <v>5390</v>
          </cell>
          <cell r="G405">
            <v>1610</v>
          </cell>
          <cell r="H405">
            <v>570</v>
          </cell>
          <cell r="I405">
            <v>1591000</v>
          </cell>
          <cell r="J405">
            <v>136700</v>
          </cell>
        </row>
        <row r="406">
          <cell r="B406" t="str">
            <v>132MHz Processor 9500 Cont Exc Rep</v>
          </cell>
          <cell r="C406">
            <v>772</v>
          </cell>
          <cell r="D406">
            <v>580</v>
          </cell>
          <cell r="E406">
            <v>710</v>
          </cell>
          <cell r="F406">
            <v>4640</v>
          </cell>
          <cell r="G406">
            <v>1380</v>
          </cell>
          <cell r="H406">
            <v>490</v>
          </cell>
          <cell r="I406">
            <v>1370000</v>
          </cell>
          <cell r="J406">
            <v>117700</v>
          </cell>
        </row>
        <row r="407">
          <cell r="B407" t="str">
            <v>150MHz Processor 9500 Cont Exc Rep</v>
          </cell>
          <cell r="C407">
            <v>1255</v>
          </cell>
          <cell r="D407">
            <v>940</v>
          </cell>
          <cell r="E407">
            <v>1150</v>
          </cell>
          <cell r="F407">
            <v>7540</v>
          </cell>
          <cell r="G407">
            <v>2250</v>
          </cell>
          <cell r="H407">
            <v>800</v>
          </cell>
          <cell r="I407">
            <v>2226000</v>
          </cell>
          <cell r="J407">
            <v>191300</v>
          </cell>
        </row>
        <row r="408">
          <cell r="B408" t="str">
            <v>200MHz Processor 9500 Cont Exc Rep</v>
          </cell>
          <cell r="C408">
            <v>1017</v>
          </cell>
          <cell r="D408">
            <v>760</v>
          </cell>
          <cell r="E408">
            <v>930</v>
          </cell>
          <cell r="F408">
            <v>6110</v>
          </cell>
          <cell r="G408">
            <v>1820</v>
          </cell>
          <cell r="H408">
            <v>640</v>
          </cell>
          <cell r="I408">
            <v>1804000</v>
          </cell>
          <cell r="J408">
            <v>155000</v>
          </cell>
        </row>
        <row r="409">
          <cell r="B409" t="str">
            <v>200MHz Processor 9600 Cont Exc Rep</v>
          </cell>
          <cell r="C409">
            <v>1017</v>
          </cell>
          <cell r="D409">
            <v>760</v>
          </cell>
          <cell r="E409">
            <v>930</v>
          </cell>
          <cell r="F409">
            <v>6110</v>
          </cell>
          <cell r="G409">
            <v>1820</v>
          </cell>
          <cell r="H409">
            <v>640</v>
          </cell>
          <cell r="I409">
            <v>1804000</v>
          </cell>
          <cell r="J409">
            <v>155000</v>
          </cell>
        </row>
        <row r="410">
          <cell r="B410" t="str">
            <v>ABVB BASE,GASK,SDI CONT EXC REP</v>
          </cell>
          <cell r="C410">
            <v>1680</v>
          </cell>
          <cell r="D410">
            <v>1260</v>
          </cell>
          <cell r="E410">
            <v>1540</v>
          </cell>
          <cell r="F410">
            <v>10100</v>
          </cell>
          <cell r="G410">
            <v>3010</v>
          </cell>
          <cell r="H410">
            <v>1060</v>
          </cell>
          <cell r="I410">
            <v>2980000</v>
          </cell>
          <cell r="J410">
            <v>256100</v>
          </cell>
        </row>
        <row r="411">
          <cell r="B411" t="str">
            <v xml:space="preserve">PCI AUDIOMEDIA III CONT EXC REP      </v>
          </cell>
          <cell r="C411">
            <v>572</v>
          </cell>
          <cell r="D411">
            <v>430</v>
          </cell>
          <cell r="E411">
            <v>520</v>
          </cell>
          <cell r="F411">
            <v>3440</v>
          </cell>
          <cell r="G411">
            <v>1030</v>
          </cell>
          <cell r="H411">
            <v>360</v>
          </cell>
          <cell r="I411">
            <v>1015000</v>
          </cell>
          <cell r="J411">
            <v>87200</v>
          </cell>
        </row>
        <row r="412">
          <cell r="B412" t="str">
            <v xml:space="preserve">PCI AMADEUS CONT EXC REP    </v>
          </cell>
          <cell r="C412">
            <v>972</v>
          </cell>
          <cell r="D412">
            <v>730</v>
          </cell>
          <cell r="E412">
            <v>890</v>
          </cell>
          <cell r="F412">
            <v>5840</v>
          </cell>
          <cell r="G412">
            <v>1740</v>
          </cell>
          <cell r="H412">
            <v>620</v>
          </cell>
          <cell r="I412">
            <v>1724000</v>
          </cell>
          <cell r="J412">
            <v>148200</v>
          </cell>
        </row>
        <row r="413">
          <cell r="B413" t="str">
            <v xml:space="preserve">PCI Genie Interface Board Cont Exc Rep        </v>
          </cell>
          <cell r="C413">
            <v>600</v>
          </cell>
          <cell r="D413">
            <v>450</v>
          </cell>
          <cell r="E413">
            <v>550</v>
          </cell>
          <cell r="F413">
            <v>3610</v>
          </cell>
          <cell r="G413">
            <v>1080</v>
          </cell>
          <cell r="H413">
            <v>380</v>
          </cell>
          <cell r="I413">
            <v>1064000</v>
          </cell>
          <cell r="J413">
            <v>91500</v>
          </cell>
        </row>
        <row r="414">
          <cell r="B414" t="str">
            <v xml:space="preserve">PCI AVID COMPONENT TOP CONT EXC REP     </v>
          </cell>
          <cell r="C414">
            <v>490</v>
          </cell>
          <cell r="D414">
            <v>370</v>
          </cell>
          <cell r="E414">
            <v>450</v>
          </cell>
          <cell r="F414">
            <v>2940</v>
          </cell>
          <cell r="G414">
            <v>880</v>
          </cell>
          <cell r="H414">
            <v>310</v>
          </cell>
          <cell r="I414">
            <v>869000</v>
          </cell>
          <cell r="J414">
            <v>74700</v>
          </cell>
        </row>
        <row r="415">
          <cell r="B415" t="str">
            <v xml:space="preserve">PCI GASKET CONT EXC REP </v>
          </cell>
          <cell r="C415">
            <v>357</v>
          </cell>
          <cell r="D415">
            <v>270</v>
          </cell>
          <cell r="E415">
            <v>330</v>
          </cell>
          <cell r="F415">
            <v>2150</v>
          </cell>
          <cell r="G415">
            <v>640</v>
          </cell>
          <cell r="H415">
            <v>230</v>
          </cell>
          <cell r="I415">
            <v>633000</v>
          </cell>
          <cell r="J415">
            <v>54400</v>
          </cell>
        </row>
        <row r="416">
          <cell r="B416" t="str">
            <v>PCI Genie Card Cont Exc Rep</v>
          </cell>
          <cell r="C416">
            <v>3509</v>
          </cell>
          <cell r="D416">
            <v>2600</v>
          </cell>
          <cell r="E416">
            <v>3200</v>
          </cell>
          <cell r="F416">
            <v>21100</v>
          </cell>
          <cell r="G416">
            <v>6300</v>
          </cell>
          <cell r="H416">
            <v>2200</v>
          </cell>
          <cell r="I416">
            <v>6200000</v>
          </cell>
          <cell r="J416">
            <v>530000</v>
          </cell>
        </row>
        <row r="417">
          <cell r="B417" t="str">
            <v xml:space="preserve">PCI JANUS CONT EXC REP        </v>
          </cell>
          <cell r="C417">
            <v>1688</v>
          </cell>
          <cell r="D417">
            <v>1270</v>
          </cell>
          <cell r="E417">
            <v>1550</v>
          </cell>
          <cell r="F417">
            <v>10150</v>
          </cell>
          <cell r="G417">
            <v>3020</v>
          </cell>
          <cell r="H417">
            <v>1070</v>
          </cell>
          <cell r="I417">
            <v>2995000</v>
          </cell>
          <cell r="J417">
            <v>257300</v>
          </cell>
        </row>
        <row r="418">
          <cell r="B418" t="str">
            <v xml:space="preserve">PCI MANDRILL CONT EXC REP       </v>
          </cell>
          <cell r="C418">
            <v>1958</v>
          </cell>
          <cell r="D418">
            <v>1470</v>
          </cell>
          <cell r="E418">
            <v>1790</v>
          </cell>
          <cell r="F418">
            <v>11770</v>
          </cell>
          <cell r="G418">
            <v>3510</v>
          </cell>
          <cell r="H418">
            <v>1240</v>
          </cell>
          <cell r="I418">
            <v>3474000</v>
          </cell>
          <cell r="J418">
            <v>298500</v>
          </cell>
        </row>
        <row r="419">
          <cell r="B419" t="str">
            <v xml:space="preserve">PCI PYTHON CONT EXC REP  </v>
          </cell>
          <cell r="C419">
            <v>315</v>
          </cell>
          <cell r="D419">
            <v>240</v>
          </cell>
          <cell r="E419">
            <v>290</v>
          </cell>
          <cell r="F419">
            <v>1890</v>
          </cell>
          <cell r="G419">
            <v>560</v>
          </cell>
          <cell r="H419">
            <v>200</v>
          </cell>
          <cell r="I419">
            <v>559000</v>
          </cell>
          <cell r="J419">
            <v>48000</v>
          </cell>
        </row>
        <row r="420">
          <cell r="B420" t="str">
            <v>SDI  (PCI) Top Cont Exc Rep</v>
          </cell>
          <cell r="C420">
            <v>980</v>
          </cell>
          <cell r="D420">
            <v>740</v>
          </cell>
          <cell r="E420">
            <v>900</v>
          </cell>
          <cell r="F420">
            <v>5890</v>
          </cell>
          <cell r="G420">
            <v>1760</v>
          </cell>
          <cell r="H420">
            <v>620</v>
          </cell>
          <cell r="I420">
            <v>1739000</v>
          </cell>
          <cell r="J420">
            <v>149400</v>
          </cell>
        </row>
        <row r="421">
          <cell r="B421" t="str">
            <v xml:space="preserve">PCI T2000 BASE CONT EXC REP                  </v>
          </cell>
          <cell r="C421">
            <v>1339</v>
          </cell>
          <cell r="D421">
            <v>1000</v>
          </cell>
          <cell r="E421">
            <v>1230</v>
          </cell>
          <cell r="F421">
            <v>8050</v>
          </cell>
          <cell r="G421">
            <v>2400</v>
          </cell>
          <cell r="H421">
            <v>850</v>
          </cell>
          <cell r="I421">
            <v>2376000</v>
          </cell>
          <cell r="J421">
            <v>204100</v>
          </cell>
        </row>
        <row r="422">
          <cell r="B422" t="str">
            <v>Power Supply 9500 Cont Exc Rep</v>
          </cell>
          <cell r="C422">
            <v>96</v>
          </cell>
          <cell r="D422">
            <v>70</v>
          </cell>
          <cell r="E422">
            <v>90</v>
          </cell>
          <cell r="F422">
            <v>580</v>
          </cell>
          <cell r="G422">
            <v>170</v>
          </cell>
          <cell r="H422">
            <v>60</v>
          </cell>
          <cell r="I422">
            <v>170000</v>
          </cell>
          <cell r="J422">
            <v>14600</v>
          </cell>
        </row>
        <row r="423">
          <cell r="B423" t="str">
            <v>Power Supply 9600 Cont Exc Rep</v>
          </cell>
          <cell r="C423">
            <v>291</v>
          </cell>
          <cell r="D423">
            <v>220</v>
          </cell>
          <cell r="E423">
            <v>270</v>
          </cell>
          <cell r="F423">
            <v>1750</v>
          </cell>
          <cell r="G423">
            <v>520</v>
          </cell>
          <cell r="H423">
            <v>180</v>
          </cell>
          <cell r="I423">
            <v>516000</v>
          </cell>
          <cell r="J423">
            <v>44400</v>
          </cell>
        </row>
        <row r="424">
          <cell r="B424" t="str">
            <v>Power Supply AMP Cont Exc Rep</v>
          </cell>
          <cell r="C424">
            <v>260</v>
          </cell>
          <cell r="D424">
            <v>200</v>
          </cell>
          <cell r="E424">
            <v>240</v>
          </cell>
          <cell r="F424">
            <v>1560</v>
          </cell>
          <cell r="G424">
            <v>470</v>
          </cell>
          <cell r="H424">
            <v>160</v>
          </cell>
          <cell r="I424">
            <v>461000</v>
          </cell>
          <cell r="J424">
            <v>39600</v>
          </cell>
        </row>
        <row r="425">
          <cell r="B425" t="str">
            <v>Power Supply Q950 Cont Exc Rep</v>
          </cell>
          <cell r="C425">
            <v>260</v>
          </cell>
          <cell r="D425">
            <v>200</v>
          </cell>
          <cell r="E425">
            <v>240</v>
          </cell>
          <cell r="F425">
            <v>1560</v>
          </cell>
          <cell r="G425">
            <v>470</v>
          </cell>
          <cell r="H425">
            <v>160</v>
          </cell>
          <cell r="I425">
            <v>461000</v>
          </cell>
          <cell r="J425">
            <v>39600</v>
          </cell>
        </row>
        <row r="426">
          <cell r="B426" t="str">
            <v>PYTHON BOARD CONT EXC REP</v>
          </cell>
          <cell r="C426">
            <v>519</v>
          </cell>
          <cell r="D426">
            <v>390</v>
          </cell>
          <cell r="E426">
            <v>480</v>
          </cell>
          <cell r="F426">
            <v>3120</v>
          </cell>
          <cell r="G426">
            <v>930</v>
          </cell>
          <cell r="H426">
            <v>330</v>
          </cell>
          <cell r="I426">
            <v>921000</v>
          </cell>
          <cell r="J426">
            <v>79100</v>
          </cell>
        </row>
        <row r="427">
          <cell r="B427" t="str">
            <v>Q950 Motherboard Cont Exc Rep</v>
          </cell>
          <cell r="C427">
            <v>414</v>
          </cell>
          <cell r="D427">
            <v>310</v>
          </cell>
          <cell r="E427">
            <v>380</v>
          </cell>
          <cell r="F427">
            <v>2490</v>
          </cell>
          <cell r="G427">
            <v>740</v>
          </cell>
          <cell r="H427">
            <v>260</v>
          </cell>
          <cell r="I427">
            <v>734000</v>
          </cell>
          <cell r="J427">
            <v>63100</v>
          </cell>
        </row>
        <row r="428">
          <cell r="B428" t="str">
            <v xml:space="preserve">0GB RMAG CHASSIS CONT EXC REP            </v>
          </cell>
          <cell r="C428">
            <v>2083</v>
          </cell>
          <cell r="D428">
            <v>1600</v>
          </cell>
          <cell r="E428">
            <v>1900</v>
          </cell>
          <cell r="F428">
            <v>12500</v>
          </cell>
          <cell r="G428">
            <v>3700</v>
          </cell>
          <cell r="H428">
            <v>1300</v>
          </cell>
          <cell r="I428">
            <v>3700000</v>
          </cell>
          <cell r="J428">
            <v>320000</v>
          </cell>
        </row>
        <row r="429">
          <cell r="B429" t="str">
            <v xml:space="preserve">2GB RMAG MICROPOLIS CONT EXC REP    </v>
          </cell>
          <cell r="C429">
            <v>1960</v>
          </cell>
          <cell r="D429">
            <v>1470</v>
          </cell>
          <cell r="E429">
            <v>1800</v>
          </cell>
          <cell r="F429">
            <v>11780</v>
          </cell>
          <cell r="G429">
            <v>3510</v>
          </cell>
          <cell r="H429">
            <v>1240</v>
          </cell>
          <cell r="I429">
            <v>3477000</v>
          </cell>
          <cell r="J429">
            <v>298800</v>
          </cell>
        </row>
        <row r="430">
          <cell r="B430" t="str">
            <v xml:space="preserve">3GB RMAG MICROPOLIS CONT EXC REP         </v>
          </cell>
          <cell r="C430">
            <v>1960</v>
          </cell>
          <cell r="D430">
            <v>1470</v>
          </cell>
          <cell r="E430">
            <v>1800</v>
          </cell>
          <cell r="F430">
            <v>11780</v>
          </cell>
          <cell r="G430">
            <v>3510</v>
          </cell>
          <cell r="H430">
            <v>1240</v>
          </cell>
          <cell r="I430">
            <v>3477000</v>
          </cell>
          <cell r="J430">
            <v>298800</v>
          </cell>
        </row>
        <row r="431">
          <cell r="B431" t="str">
            <v xml:space="preserve">9GB Removeable Drive for RMAG Cont Exc Rep        </v>
          </cell>
          <cell r="C431">
            <v>1200</v>
          </cell>
          <cell r="D431">
            <v>900</v>
          </cell>
          <cell r="E431">
            <v>1100</v>
          </cell>
          <cell r="F431">
            <v>7210</v>
          </cell>
          <cell r="G431">
            <v>2150</v>
          </cell>
          <cell r="H431">
            <v>760</v>
          </cell>
          <cell r="I431">
            <v>2129000</v>
          </cell>
          <cell r="J431">
            <v>182900</v>
          </cell>
        </row>
        <row r="432">
          <cell r="B432" t="str">
            <v xml:space="preserve">SA4 CONT EXC REP    </v>
          </cell>
          <cell r="C432">
            <v>510</v>
          </cell>
          <cell r="D432">
            <v>380</v>
          </cell>
          <cell r="E432">
            <v>470</v>
          </cell>
          <cell r="F432">
            <v>3070</v>
          </cell>
          <cell r="G432">
            <v>910</v>
          </cell>
          <cell r="H432">
            <v>320</v>
          </cell>
          <cell r="I432">
            <v>905000</v>
          </cell>
          <cell r="J432">
            <v>77700</v>
          </cell>
        </row>
        <row r="433">
          <cell r="B433" t="str">
            <v>STEENBECK CONTROLLER CONT EXC REP</v>
          </cell>
          <cell r="C433">
            <v>1078</v>
          </cell>
          <cell r="D433">
            <v>810</v>
          </cell>
          <cell r="E433">
            <v>990</v>
          </cell>
          <cell r="F433">
            <v>6480</v>
          </cell>
          <cell r="G433">
            <v>1930</v>
          </cell>
          <cell r="H433">
            <v>680</v>
          </cell>
          <cell r="I433">
            <v>1912000</v>
          </cell>
          <cell r="J433">
            <v>164300</v>
          </cell>
        </row>
        <row r="434">
          <cell r="B434" t="str">
            <v>ABVB with SDI  (Nubus) Cont Exc Rep</v>
          </cell>
          <cell r="C434">
            <v>4018</v>
          </cell>
          <cell r="D434">
            <v>3000</v>
          </cell>
          <cell r="E434">
            <v>3700</v>
          </cell>
          <cell r="F434">
            <v>24100</v>
          </cell>
          <cell r="G434">
            <v>7200</v>
          </cell>
          <cell r="H434">
            <v>2500</v>
          </cell>
          <cell r="I434">
            <v>7100000</v>
          </cell>
          <cell r="J434">
            <v>610000</v>
          </cell>
        </row>
        <row r="435">
          <cell r="B435" t="str">
            <v xml:space="preserve">STUDIOBOARD W/BETACAM TOP CONT EXC REP          </v>
          </cell>
          <cell r="C435">
            <v>2989</v>
          </cell>
          <cell r="D435">
            <v>2200</v>
          </cell>
          <cell r="E435">
            <v>2700</v>
          </cell>
          <cell r="F435">
            <v>18000</v>
          </cell>
          <cell r="G435">
            <v>5400</v>
          </cell>
          <cell r="H435">
            <v>1900</v>
          </cell>
          <cell r="I435">
            <v>5300000</v>
          </cell>
          <cell r="J435">
            <v>460000</v>
          </cell>
        </row>
        <row r="436">
          <cell r="B436" t="str">
            <v>TRANSOFT SCSI NET CONT EXC REP</v>
          </cell>
          <cell r="C436">
            <v>7105</v>
          </cell>
          <cell r="D436">
            <v>5300</v>
          </cell>
          <cell r="E436">
            <v>6500</v>
          </cell>
          <cell r="F436">
            <v>42700</v>
          </cell>
          <cell r="G436">
            <v>12700</v>
          </cell>
          <cell r="H436">
            <v>4500</v>
          </cell>
          <cell r="I436">
            <v>12600000</v>
          </cell>
          <cell r="J436">
            <v>1080000</v>
          </cell>
        </row>
        <row r="437">
          <cell r="B437" t="str">
            <v>9500 Video Card Cont Exc Rep_x000B_</v>
          </cell>
          <cell r="C437">
            <v>504</v>
          </cell>
          <cell r="D437">
            <v>380</v>
          </cell>
          <cell r="E437">
            <v>460</v>
          </cell>
          <cell r="F437">
            <v>3030</v>
          </cell>
          <cell r="G437">
            <v>900</v>
          </cell>
          <cell r="H437">
            <v>320</v>
          </cell>
          <cell r="I437">
            <v>894000</v>
          </cell>
          <cell r="J437">
            <v>76800</v>
          </cell>
        </row>
        <row r="438">
          <cell r="B438" t="str">
            <v>9600-200/233 Video Card Cont Exc Rep</v>
          </cell>
          <cell r="C438">
            <v>646</v>
          </cell>
          <cell r="D438">
            <v>480</v>
          </cell>
          <cell r="E438">
            <v>590</v>
          </cell>
          <cell r="F438">
            <v>3880</v>
          </cell>
          <cell r="G438">
            <v>1160</v>
          </cell>
          <cell r="H438">
            <v>410</v>
          </cell>
          <cell r="I438">
            <v>1146000</v>
          </cell>
          <cell r="J438">
            <v>98500</v>
          </cell>
        </row>
        <row r="439">
          <cell r="B439" t="str">
            <v xml:space="preserve">VIDEO SLAVE DRIVER CONT EXC REP        </v>
          </cell>
          <cell r="C439">
            <v>385</v>
          </cell>
          <cell r="D439">
            <v>290</v>
          </cell>
          <cell r="E439">
            <v>350</v>
          </cell>
          <cell r="F439">
            <v>2310</v>
          </cell>
          <cell r="G439">
            <v>690</v>
          </cell>
          <cell r="H439">
            <v>240</v>
          </cell>
          <cell r="I439">
            <v>683000</v>
          </cell>
          <cell r="J439">
            <v>58700</v>
          </cell>
        </row>
        <row r="440">
          <cell r="B440" t="str">
            <v>Elastic Reality for Macintosh 3.1</v>
          </cell>
          <cell r="C440">
            <v>1299</v>
          </cell>
          <cell r="D440">
            <v>970</v>
          </cell>
          <cell r="E440">
            <v>1190</v>
          </cell>
          <cell r="F440">
            <v>7810</v>
          </cell>
          <cell r="G440">
            <v>2330</v>
          </cell>
          <cell r="H440">
            <v>820</v>
          </cell>
          <cell r="I440">
            <v>2305000</v>
          </cell>
          <cell r="J440">
            <v>198000</v>
          </cell>
        </row>
        <row r="441">
          <cell r="B441" t="str">
            <v>Elastic Reality for Macintosh 3.1 NOT FOR RESALE</v>
          </cell>
          <cell r="C441">
            <v>199</v>
          </cell>
          <cell r="D441">
            <v>150</v>
          </cell>
          <cell r="E441">
            <v>180</v>
          </cell>
          <cell r="F441">
            <v>1200</v>
          </cell>
          <cell r="G441">
            <v>360</v>
          </cell>
          <cell r="H441">
            <v>130</v>
          </cell>
          <cell r="I441">
            <v>353000</v>
          </cell>
          <cell r="J441">
            <v>30300</v>
          </cell>
        </row>
        <row r="442">
          <cell r="B442" t="str">
            <v>Elastic Reality for Macintosh 3.1 upgrade</v>
          </cell>
          <cell r="C442">
            <v>99</v>
          </cell>
          <cell r="D442">
            <v>70</v>
          </cell>
          <cell r="E442">
            <v>90</v>
          </cell>
          <cell r="F442">
            <v>600</v>
          </cell>
          <cell r="G442">
            <v>180</v>
          </cell>
          <cell r="H442">
            <v>60</v>
          </cell>
          <cell r="I442">
            <v>176000</v>
          </cell>
          <cell r="J442">
            <v>15100</v>
          </cell>
        </row>
        <row r="443">
          <cell r="B443" t="str">
            <v xml:space="preserve">Elastic Reality for Macintosh 3.1 upgrade </v>
          </cell>
          <cell r="C443">
            <v>699</v>
          </cell>
          <cell r="D443">
            <v>520</v>
          </cell>
          <cell r="E443">
            <v>640</v>
          </cell>
          <cell r="F443">
            <v>4200</v>
          </cell>
          <cell r="G443">
            <v>1250</v>
          </cell>
          <cell r="H443">
            <v>440</v>
          </cell>
          <cell r="I443">
            <v>1240000</v>
          </cell>
          <cell r="J443">
            <v>106600</v>
          </cell>
        </row>
        <row r="444">
          <cell r="B444" t="str">
            <v>3DFX STAND ALONE MODULE UNCONT EXC REP</v>
          </cell>
          <cell r="C444">
            <v>7605</v>
          </cell>
          <cell r="D444">
            <v>5700</v>
          </cell>
          <cell r="E444">
            <v>7000</v>
          </cell>
          <cell r="F444">
            <v>45700</v>
          </cell>
          <cell r="G444">
            <v>13600</v>
          </cell>
          <cell r="H444">
            <v>4800</v>
          </cell>
          <cell r="I444">
            <v>13500000</v>
          </cell>
          <cell r="J444">
            <v>1160000</v>
          </cell>
        </row>
        <row r="445">
          <cell r="B445" t="str">
            <v>9500 Motherboard Uncont Exc Rep</v>
          </cell>
          <cell r="C445">
            <v>997</v>
          </cell>
          <cell r="D445">
            <v>750</v>
          </cell>
          <cell r="E445">
            <v>910</v>
          </cell>
          <cell r="F445">
            <v>5990</v>
          </cell>
          <cell r="G445">
            <v>1790</v>
          </cell>
          <cell r="H445">
            <v>630</v>
          </cell>
          <cell r="I445">
            <v>1769000</v>
          </cell>
          <cell r="J445">
            <v>152000</v>
          </cell>
        </row>
        <row r="446">
          <cell r="B446" t="str">
            <v>9600-200/233 Motherboard Uncont Exc Rep</v>
          </cell>
          <cell r="C446">
            <v>1799</v>
          </cell>
          <cell r="D446">
            <v>1350</v>
          </cell>
          <cell r="E446">
            <v>1650</v>
          </cell>
          <cell r="F446">
            <v>10810</v>
          </cell>
          <cell r="G446">
            <v>3220</v>
          </cell>
          <cell r="H446">
            <v>1140</v>
          </cell>
          <cell r="I446">
            <v>3192000</v>
          </cell>
          <cell r="J446">
            <v>274300</v>
          </cell>
        </row>
        <row r="447">
          <cell r="B447" t="str">
            <v xml:space="preserve">ABVB BASE,GASK,COMP UNCONT EXC REP     </v>
          </cell>
          <cell r="C447">
            <v>2250</v>
          </cell>
          <cell r="D447">
            <v>1700</v>
          </cell>
          <cell r="E447">
            <v>2100</v>
          </cell>
          <cell r="F447">
            <v>13500</v>
          </cell>
          <cell r="G447">
            <v>4000</v>
          </cell>
          <cell r="H447">
            <v>1400</v>
          </cell>
          <cell r="I447">
            <v>4000000</v>
          </cell>
          <cell r="J447">
            <v>340000</v>
          </cell>
        </row>
        <row r="448">
          <cell r="B448" t="str">
            <v xml:space="preserve">AMCI 16 CHANNEL BOARD UNCONT EXC REP </v>
          </cell>
          <cell r="C448">
            <v>3920</v>
          </cell>
          <cell r="D448">
            <v>2900</v>
          </cell>
          <cell r="E448">
            <v>3600</v>
          </cell>
          <cell r="F448">
            <v>23600</v>
          </cell>
          <cell r="G448">
            <v>7000</v>
          </cell>
          <cell r="H448">
            <v>2500</v>
          </cell>
          <cell r="I448">
            <v>7000000</v>
          </cell>
          <cell r="J448">
            <v>600000</v>
          </cell>
        </row>
        <row r="449">
          <cell r="B449" t="str">
            <v xml:space="preserve">AMPLIFIER 220V CAN UNCONT EXC REP    </v>
          </cell>
          <cell r="C449">
            <v>578</v>
          </cell>
          <cell r="D449">
            <v>430</v>
          </cell>
          <cell r="E449">
            <v>530</v>
          </cell>
          <cell r="F449">
            <v>3470</v>
          </cell>
          <cell r="G449">
            <v>1040</v>
          </cell>
          <cell r="H449">
            <v>370</v>
          </cell>
          <cell r="I449">
            <v>1025000</v>
          </cell>
          <cell r="J449">
            <v>88100</v>
          </cell>
        </row>
        <row r="450">
          <cell r="B450" t="str">
            <v>AMP/8100 Motherboard Uncont Exc Rep</v>
          </cell>
          <cell r="C450">
            <v>1069</v>
          </cell>
          <cell r="D450">
            <v>800</v>
          </cell>
          <cell r="E450">
            <v>980</v>
          </cell>
          <cell r="F450">
            <v>6420</v>
          </cell>
          <cell r="G450">
            <v>1920</v>
          </cell>
          <cell r="H450">
            <v>680</v>
          </cell>
          <cell r="I450">
            <v>1897000</v>
          </cell>
          <cell r="J450">
            <v>163000</v>
          </cell>
        </row>
        <row r="451">
          <cell r="B451" t="str">
            <v>ATM Switch Module Uncont Exc Rep</v>
          </cell>
          <cell r="C451">
            <v>4830</v>
          </cell>
          <cell r="D451">
            <v>3600</v>
          </cell>
          <cell r="E451">
            <v>4400</v>
          </cell>
          <cell r="F451">
            <v>29000</v>
          </cell>
          <cell r="G451">
            <v>8700</v>
          </cell>
          <cell r="H451">
            <v>3100</v>
          </cell>
          <cell r="I451">
            <v>8600000</v>
          </cell>
          <cell r="J451">
            <v>740000</v>
          </cell>
        </row>
        <row r="452">
          <cell r="B452" t="str">
            <v>ATM Switch Uncont Exc Rep</v>
          </cell>
          <cell r="C452">
            <v>20930</v>
          </cell>
          <cell r="D452">
            <v>15700</v>
          </cell>
          <cell r="E452">
            <v>19200</v>
          </cell>
          <cell r="F452">
            <v>125800</v>
          </cell>
          <cell r="G452">
            <v>37500</v>
          </cell>
          <cell r="H452">
            <v>13300</v>
          </cell>
          <cell r="I452">
            <v>37100000</v>
          </cell>
          <cell r="J452">
            <v>3190000</v>
          </cell>
        </row>
        <row r="453">
          <cell r="B453" t="str">
            <v>Fore System ATM Nubus Netcard Uncont Exc Rep</v>
          </cell>
          <cell r="C453">
            <v>1610</v>
          </cell>
          <cell r="D453">
            <v>1210</v>
          </cell>
          <cell r="E453">
            <v>1480</v>
          </cell>
          <cell r="F453">
            <v>9680</v>
          </cell>
          <cell r="G453">
            <v>2890</v>
          </cell>
          <cell r="H453">
            <v>1020</v>
          </cell>
          <cell r="I453">
            <v>2856000</v>
          </cell>
          <cell r="J453">
            <v>245400</v>
          </cell>
        </row>
        <row r="454">
          <cell r="B454" t="str">
            <v xml:space="preserve">ATTO SE4D UNCONT EXC REP  </v>
          </cell>
          <cell r="C454">
            <v>826</v>
          </cell>
          <cell r="D454">
            <v>620</v>
          </cell>
          <cell r="E454">
            <v>760</v>
          </cell>
          <cell r="F454">
            <v>4960</v>
          </cell>
          <cell r="G454">
            <v>1480</v>
          </cell>
          <cell r="H454">
            <v>520</v>
          </cell>
          <cell r="I454">
            <v>1465000</v>
          </cell>
          <cell r="J454">
            <v>125900</v>
          </cell>
        </row>
        <row r="455">
          <cell r="B455" t="str">
            <v xml:space="preserve">PCI ATTO EXPRESS UNCONT EXC REP </v>
          </cell>
          <cell r="C455">
            <v>700</v>
          </cell>
          <cell r="D455">
            <v>530</v>
          </cell>
          <cell r="E455">
            <v>640</v>
          </cell>
          <cell r="F455">
            <v>4210</v>
          </cell>
          <cell r="G455">
            <v>1250</v>
          </cell>
          <cell r="H455">
            <v>440</v>
          </cell>
          <cell r="I455">
            <v>1242000</v>
          </cell>
          <cell r="J455">
            <v>106700</v>
          </cell>
        </row>
        <row r="456">
          <cell r="B456" t="str">
            <v xml:space="preserve">PCI ATTO EXPRESS UNCONT EXC REP </v>
          </cell>
          <cell r="C456">
            <v>410</v>
          </cell>
          <cell r="D456">
            <v>310</v>
          </cell>
          <cell r="E456">
            <v>380</v>
          </cell>
          <cell r="F456">
            <v>2460</v>
          </cell>
          <cell r="G456">
            <v>730</v>
          </cell>
          <cell r="H456">
            <v>260</v>
          </cell>
          <cell r="I456">
            <v>727000</v>
          </cell>
          <cell r="J456">
            <v>62500</v>
          </cell>
        </row>
        <row r="457">
          <cell r="B457" t="str">
            <v xml:space="preserve">PCI ATTO EXPRESS DIFF UNCONT EXC REP        </v>
          </cell>
          <cell r="C457">
            <v>610</v>
          </cell>
          <cell r="D457">
            <v>460</v>
          </cell>
          <cell r="E457">
            <v>560</v>
          </cell>
          <cell r="F457">
            <v>3670</v>
          </cell>
          <cell r="G457">
            <v>1090</v>
          </cell>
          <cell r="H457">
            <v>390</v>
          </cell>
          <cell r="I457">
            <v>1082000</v>
          </cell>
          <cell r="J457">
            <v>93000</v>
          </cell>
        </row>
        <row r="458">
          <cell r="B458" t="str">
            <v xml:space="preserve">ATTO SE4 UNCONT EXC REP </v>
          </cell>
          <cell r="C458">
            <v>777</v>
          </cell>
          <cell r="D458">
            <v>580</v>
          </cell>
          <cell r="E458">
            <v>710</v>
          </cell>
          <cell r="F458">
            <v>4670</v>
          </cell>
          <cell r="G458">
            <v>1390</v>
          </cell>
          <cell r="H458">
            <v>490</v>
          </cell>
          <cell r="I458">
            <v>1378000</v>
          </cell>
          <cell r="J458">
            <v>118500</v>
          </cell>
        </row>
        <row r="459">
          <cell r="B459" t="str">
            <v xml:space="preserve">4X4 AUDIO INTERFACE UNCONT EXC REP </v>
          </cell>
          <cell r="C459">
            <v>1085</v>
          </cell>
          <cell r="D459">
            <v>810</v>
          </cell>
          <cell r="E459">
            <v>990</v>
          </cell>
          <cell r="F459">
            <v>6520</v>
          </cell>
          <cell r="G459">
            <v>1940</v>
          </cell>
          <cell r="H459">
            <v>690</v>
          </cell>
          <cell r="I459">
            <v>1925000</v>
          </cell>
          <cell r="J459">
            <v>165400</v>
          </cell>
        </row>
        <row r="460">
          <cell r="B460" t="str">
            <v xml:space="preserve">AUDIO 8X8 DIGI UNCONT EXC REP  </v>
          </cell>
          <cell r="C460">
            <v>2240</v>
          </cell>
          <cell r="D460">
            <v>1700</v>
          </cell>
          <cell r="E460">
            <v>2100</v>
          </cell>
          <cell r="F460">
            <v>13500</v>
          </cell>
          <cell r="G460">
            <v>4000</v>
          </cell>
          <cell r="H460">
            <v>1400</v>
          </cell>
          <cell r="I460">
            <v>4000000</v>
          </cell>
          <cell r="J460">
            <v>340000</v>
          </cell>
        </row>
        <row r="461">
          <cell r="B461" t="str">
            <v xml:space="preserve"> AUDIOMEDIA II UNCONT EXC REP  </v>
          </cell>
          <cell r="C461">
            <v>500</v>
          </cell>
          <cell r="D461">
            <v>380</v>
          </cell>
          <cell r="E461">
            <v>460</v>
          </cell>
          <cell r="F461">
            <v>3010</v>
          </cell>
          <cell r="G461">
            <v>900</v>
          </cell>
          <cell r="H461">
            <v>320</v>
          </cell>
          <cell r="I461">
            <v>887000</v>
          </cell>
          <cell r="J461">
            <v>76200</v>
          </cell>
        </row>
        <row r="462">
          <cell r="B462" t="str">
            <v xml:space="preserve">BBGEN UNCONT EXC REP  </v>
          </cell>
          <cell r="C462">
            <v>650</v>
          </cell>
          <cell r="D462">
            <v>490</v>
          </cell>
          <cell r="E462">
            <v>600</v>
          </cell>
          <cell r="F462">
            <v>3910</v>
          </cell>
          <cell r="G462">
            <v>1160</v>
          </cell>
          <cell r="H462">
            <v>410</v>
          </cell>
          <cell r="I462">
            <v>1153000</v>
          </cell>
          <cell r="J462">
            <v>99100</v>
          </cell>
        </row>
        <row r="463">
          <cell r="B463" t="str">
            <v>9600-200/233 CD Drv 12X Uncont Exc Rep</v>
          </cell>
          <cell r="C463">
            <v>363</v>
          </cell>
          <cell r="D463">
            <v>270</v>
          </cell>
          <cell r="E463">
            <v>330</v>
          </cell>
          <cell r="F463">
            <v>2180</v>
          </cell>
          <cell r="G463">
            <v>650</v>
          </cell>
          <cell r="H463">
            <v>230</v>
          </cell>
          <cell r="I463">
            <v>644000</v>
          </cell>
          <cell r="J463">
            <v>55300</v>
          </cell>
        </row>
        <row r="464">
          <cell r="B464" t="str">
            <v xml:space="preserve">9500-132/150 CD Drv 4X Uncont Exc Rep </v>
          </cell>
          <cell r="C464">
            <v>353</v>
          </cell>
          <cell r="D464">
            <v>260</v>
          </cell>
          <cell r="E464">
            <v>320</v>
          </cell>
          <cell r="F464">
            <v>2120</v>
          </cell>
          <cell r="G464">
            <v>630</v>
          </cell>
          <cell r="H464">
            <v>220</v>
          </cell>
          <cell r="I464">
            <v>626000</v>
          </cell>
          <cell r="J464">
            <v>53800</v>
          </cell>
        </row>
        <row r="465">
          <cell r="B465" t="str">
            <v>9500-200 CD Drv 8X Uncont Exc Rep</v>
          </cell>
          <cell r="C465">
            <v>372</v>
          </cell>
          <cell r="D465">
            <v>280</v>
          </cell>
          <cell r="E465">
            <v>340</v>
          </cell>
          <cell r="F465">
            <v>2240</v>
          </cell>
          <cell r="G465">
            <v>670</v>
          </cell>
          <cell r="H465">
            <v>240</v>
          </cell>
          <cell r="I465">
            <v>660000</v>
          </cell>
          <cell r="J465">
            <v>56700</v>
          </cell>
        </row>
        <row r="466">
          <cell r="B466" t="str">
            <v>MX500 Chassis Uncont Exc Rep</v>
          </cell>
          <cell r="C466">
            <v>2857</v>
          </cell>
          <cell r="D466">
            <v>2100</v>
          </cell>
          <cell r="E466">
            <v>2600</v>
          </cell>
          <cell r="F466">
            <v>17200</v>
          </cell>
          <cell r="G466">
            <v>5100</v>
          </cell>
          <cell r="H466">
            <v>1800</v>
          </cell>
          <cell r="I466">
            <v>5100000</v>
          </cell>
          <cell r="J466">
            <v>440000</v>
          </cell>
        </row>
        <row r="467">
          <cell r="B467" t="str">
            <v xml:space="preserve"> Spare Clariion Power Supply Uncont Exc Rep</v>
          </cell>
          <cell r="C467">
            <v>500</v>
          </cell>
          <cell r="D467">
            <v>380</v>
          </cell>
          <cell r="E467">
            <v>460</v>
          </cell>
          <cell r="F467">
            <v>3010</v>
          </cell>
          <cell r="G467">
            <v>900</v>
          </cell>
          <cell r="H467">
            <v>320</v>
          </cell>
          <cell r="I467">
            <v>887000</v>
          </cell>
          <cell r="J467">
            <v>76200</v>
          </cell>
        </row>
        <row r="468">
          <cell r="B468" t="str">
            <v>AVID MEDIA PROCESSOR UNCONT EXC REP</v>
          </cell>
          <cell r="C468">
            <v>6297</v>
          </cell>
          <cell r="D468">
            <v>4700</v>
          </cell>
          <cell r="E468">
            <v>5800</v>
          </cell>
          <cell r="F468">
            <v>37800</v>
          </cell>
          <cell r="G468">
            <v>11300</v>
          </cell>
          <cell r="H468">
            <v>4000</v>
          </cell>
          <cell r="I468">
            <v>11200000</v>
          </cell>
          <cell r="J468">
            <v>960000</v>
          </cell>
        </row>
        <row r="469">
          <cell r="B469" t="str">
            <v xml:space="preserve"> AVIDdrive 20GB DLT with 5 AutoLoadUncont Exc Rep</v>
          </cell>
          <cell r="C469">
            <v>9153</v>
          </cell>
          <cell r="D469">
            <v>6900</v>
          </cell>
          <cell r="E469">
            <v>8400</v>
          </cell>
          <cell r="F469">
            <v>55000</v>
          </cell>
          <cell r="G469">
            <v>16400</v>
          </cell>
          <cell r="H469">
            <v>5800</v>
          </cell>
          <cell r="I469">
            <v>16200000</v>
          </cell>
          <cell r="J469">
            <v>1400000</v>
          </cell>
        </row>
        <row r="470">
          <cell r="B470" t="str">
            <v>Avid DLT Drive, 20GB Uncont Exc Rep</v>
          </cell>
          <cell r="C470">
            <v>6038</v>
          </cell>
          <cell r="D470">
            <v>4500</v>
          </cell>
          <cell r="E470">
            <v>5500</v>
          </cell>
          <cell r="F470">
            <v>36300</v>
          </cell>
          <cell r="G470">
            <v>10800</v>
          </cell>
          <cell r="H470">
            <v>3800</v>
          </cell>
          <cell r="I470">
            <v>10700000</v>
          </cell>
          <cell r="J470">
            <v>920000</v>
          </cell>
        </row>
        <row r="471">
          <cell r="B471" t="str">
            <v xml:space="preserve"> AVIDdrive 35GB Uncont Exc Rep</v>
          </cell>
          <cell r="C471">
            <v>6871</v>
          </cell>
          <cell r="D471">
            <v>5200</v>
          </cell>
          <cell r="E471">
            <v>6300</v>
          </cell>
          <cell r="F471">
            <v>41300</v>
          </cell>
          <cell r="G471">
            <v>12300</v>
          </cell>
          <cell r="H471">
            <v>4400</v>
          </cell>
          <cell r="I471">
            <v>12200000</v>
          </cell>
          <cell r="J471">
            <v>1050000</v>
          </cell>
        </row>
        <row r="472">
          <cell r="B472" t="str">
            <v xml:space="preserve">MANDRILL BOARD UNCONT EXC REP </v>
          </cell>
          <cell r="C472">
            <v>1785</v>
          </cell>
          <cell r="D472">
            <v>1340</v>
          </cell>
          <cell r="E472">
            <v>1640</v>
          </cell>
          <cell r="F472">
            <v>10730</v>
          </cell>
          <cell r="G472">
            <v>3200</v>
          </cell>
          <cell r="H472">
            <v>1130</v>
          </cell>
          <cell r="I472">
            <v>3167000</v>
          </cell>
          <cell r="J472">
            <v>272100</v>
          </cell>
        </row>
        <row r="473">
          <cell r="B473" t="str">
            <v xml:space="preserve">ENHANCEMENT BOARD UNCONT EXC REP      </v>
          </cell>
          <cell r="C473">
            <v>2097</v>
          </cell>
          <cell r="D473">
            <v>1600</v>
          </cell>
          <cell r="E473">
            <v>1900</v>
          </cell>
          <cell r="F473">
            <v>12600</v>
          </cell>
          <cell r="G473">
            <v>3800</v>
          </cell>
          <cell r="H473">
            <v>1300</v>
          </cell>
          <cell r="I473">
            <v>3700000</v>
          </cell>
          <cell r="J473">
            <v>320000</v>
          </cell>
        </row>
        <row r="474">
          <cell r="B474" t="str">
            <v xml:space="preserve">2GB FIXED MICROPOLIS UNCONT EXC REP   </v>
          </cell>
          <cell r="C474">
            <v>2170</v>
          </cell>
          <cell r="D474">
            <v>1600</v>
          </cell>
          <cell r="E474">
            <v>2000</v>
          </cell>
          <cell r="F474">
            <v>13000</v>
          </cell>
          <cell r="G474">
            <v>3900</v>
          </cell>
          <cell r="H474">
            <v>1400</v>
          </cell>
          <cell r="I474">
            <v>3800000</v>
          </cell>
          <cell r="J474">
            <v>330000</v>
          </cell>
        </row>
        <row r="475">
          <cell r="B475" t="str">
            <v xml:space="preserve">3GB FIXED MICROPOLIS UNCONT EXC REP  </v>
          </cell>
          <cell r="C475">
            <v>2625</v>
          </cell>
          <cell r="D475">
            <v>2000</v>
          </cell>
          <cell r="E475">
            <v>2400</v>
          </cell>
          <cell r="F475">
            <v>15800</v>
          </cell>
          <cell r="G475">
            <v>4700</v>
          </cell>
          <cell r="H475">
            <v>1700</v>
          </cell>
          <cell r="I475">
            <v>4700000</v>
          </cell>
          <cell r="J475">
            <v>400000</v>
          </cell>
        </row>
        <row r="476">
          <cell r="B476" t="str">
            <v xml:space="preserve"> AVID 9GB 5.25" Fixed Drive Uncont Exc Rep</v>
          </cell>
          <cell r="C476">
            <v>1500</v>
          </cell>
          <cell r="D476">
            <v>1130</v>
          </cell>
          <cell r="E476">
            <v>1370</v>
          </cell>
          <cell r="F476">
            <v>9020</v>
          </cell>
          <cell r="G476">
            <v>2690</v>
          </cell>
          <cell r="H476">
            <v>950</v>
          </cell>
          <cell r="I476">
            <v>2661000</v>
          </cell>
          <cell r="J476">
            <v>228700</v>
          </cell>
        </row>
        <row r="477">
          <cell r="B477" t="str">
            <v>1GB AMP/8100 Int HDrv Uncont Exc Rep</v>
          </cell>
          <cell r="C477">
            <v>570</v>
          </cell>
          <cell r="D477">
            <v>430</v>
          </cell>
          <cell r="E477">
            <v>520</v>
          </cell>
          <cell r="F477">
            <v>3430</v>
          </cell>
          <cell r="G477">
            <v>1020</v>
          </cell>
          <cell r="H477">
            <v>360</v>
          </cell>
          <cell r="I477">
            <v>1011000</v>
          </cell>
          <cell r="J477">
            <v>86900</v>
          </cell>
        </row>
        <row r="478">
          <cell r="B478" t="str">
            <v>2GB 9500 Int HDrv Uncont Exc Rep</v>
          </cell>
          <cell r="C478">
            <v>910</v>
          </cell>
          <cell r="D478">
            <v>680</v>
          </cell>
          <cell r="E478">
            <v>830</v>
          </cell>
          <cell r="F478">
            <v>5470</v>
          </cell>
          <cell r="G478">
            <v>1630</v>
          </cell>
          <cell r="H478">
            <v>580</v>
          </cell>
          <cell r="I478">
            <v>1614000</v>
          </cell>
          <cell r="J478">
            <v>138700</v>
          </cell>
        </row>
        <row r="479">
          <cell r="B479" t="str">
            <v>4GB 9600 Int HDrv Uncont Exc Rep</v>
          </cell>
          <cell r="C479">
            <v>1957</v>
          </cell>
          <cell r="D479">
            <v>1470</v>
          </cell>
          <cell r="E479">
            <v>1790</v>
          </cell>
          <cell r="F479">
            <v>11760</v>
          </cell>
          <cell r="G479">
            <v>3510</v>
          </cell>
          <cell r="H479">
            <v>1240</v>
          </cell>
          <cell r="I479">
            <v>3472000</v>
          </cell>
          <cell r="J479">
            <v>298300</v>
          </cell>
        </row>
        <row r="480">
          <cell r="B480" t="str">
            <v xml:space="preserve">JANUS BOARD UNCONT EXC REP      </v>
          </cell>
          <cell r="C480">
            <v>2706</v>
          </cell>
          <cell r="D480">
            <v>2000</v>
          </cell>
          <cell r="E480">
            <v>2500</v>
          </cell>
          <cell r="F480">
            <v>16300</v>
          </cell>
          <cell r="G480">
            <v>4800</v>
          </cell>
          <cell r="H480">
            <v>1700</v>
          </cell>
          <cell r="I480">
            <v>4800000</v>
          </cell>
          <cell r="J480">
            <v>410000</v>
          </cell>
        </row>
        <row r="481">
          <cell r="B481" t="str">
            <v xml:space="preserve">JPEG3 UNCONT EXC REP    </v>
          </cell>
          <cell r="C481">
            <v>1132</v>
          </cell>
          <cell r="D481">
            <v>850</v>
          </cell>
          <cell r="E481">
            <v>1040</v>
          </cell>
          <cell r="F481">
            <v>6800</v>
          </cell>
          <cell r="G481">
            <v>2030</v>
          </cell>
          <cell r="H481">
            <v>720</v>
          </cell>
          <cell r="I481">
            <v>2008000</v>
          </cell>
          <cell r="J481">
            <v>172600</v>
          </cell>
        </row>
        <row r="482">
          <cell r="B482" t="str">
            <v xml:space="preserve"> JPEG4 UNCONT EXC REP   </v>
          </cell>
          <cell r="C482">
            <v>1228</v>
          </cell>
          <cell r="D482">
            <v>920</v>
          </cell>
          <cell r="E482">
            <v>1130</v>
          </cell>
          <cell r="F482">
            <v>7380</v>
          </cell>
          <cell r="G482">
            <v>2200</v>
          </cell>
          <cell r="H482">
            <v>780</v>
          </cell>
          <cell r="I482">
            <v>2179000</v>
          </cell>
          <cell r="J482">
            <v>187200</v>
          </cell>
        </row>
        <row r="483">
          <cell r="B483" t="str">
            <v xml:space="preserve"> JPEG5 UNCONT EXC REP  </v>
          </cell>
          <cell r="C483">
            <v>1280</v>
          </cell>
          <cell r="D483">
            <v>960</v>
          </cell>
          <cell r="E483">
            <v>1170</v>
          </cell>
          <cell r="F483">
            <v>7690</v>
          </cell>
          <cell r="G483">
            <v>2290</v>
          </cell>
          <cell r="H483">
            <v>810</v>
          </cell>
          <cell r="I483">
            <v>2271000</v>
          </cell>
          <cell r="J483">
            <v>195100</v>
          </cell>
        </row>
        <row r="484">
          <cell r="B484" t="str">
            <v xml:space="preserve"> Media Dock Chassis (Rack) Uncont Exc Rep</v>
          </cell>
          <cell r="C484">
            <v>1957</v>
          </cell>
          <cell r="D484">
            <v>1470</v>
          </cell>
          <cell r="E484">
            <v>1790</v>
          </cell>
          <cell r="F484">
            <v>11760</v>
          </cell>
          <cell r="G484">
            <v>3510</v>
          </cell>
          <cell r="H484">
            <v>1240</v>
          </cell>
          <cell r="I484">
            <v>3472000</v>
          </cell>
          <cell r="J484">
            <v>298300</v>
          </cell>
        </row>
        <row r="485">
          <cell r="B485" t="str">
            <v xml:space="preserve"> Media Dock Chassis (Tower) Uncont Exc Rep</v>
          </cell>
          <cell r="C485">
            <v>1817</v>
          </cell>
          <cell r="D485">
            <v>1360</v>
          </cell>
          <cell r="E485">
            <v>1660</v>
          </cell>
          <cell r="F485">
            <v>10920</v>
          </cell>
          <cell r="G485">
            <v>3260</v>
          </cell>
          <cell r="H485">
            <v>1150</v>
          </cell>
          <cell r="I485">
            <v>3224000</v>
          </cell>
          <cell r="J485">
            <v>277000</v>
          </cell>
        </row>
        <row r="486">
          <cell r="B486" t="str">
            <v xml:space="preserve">VITC MEDIA READER UNCONT EXC REP   </v>
          </cell>
          <cell r="C486">
            <v>2730</v>
          </cell>
          <cell r="D486">
            <v>2000</v>
          </cell>
          <cell r="E486">
            <v>2500</v>
          </cell>
          <cell r="F486">
            <v>16400</v>
          </cell>
          <cell r="G486">
            <v>4900</v>
          </cell>
          <cell r="H486">
            <v>1700</v>
          </cell>
          <cell r="I486">
            <v>4800000</v>
          </cell>
          <cell r="J486">
            <v>420000</v>
          </cell>
        </row>
        <row r="487">
          <cell r="B487" t="str">
            <v xml:space="preserve">4MB MEM FOR JPEG UNCONT EXC REP     </v>
          </cell>
          <cell r="C487">
            <v>644</v>
          </cell>
          <cell r="D487">
            <v>480</v>
          </cell>
          <cell r="E487">
            <v>590</v>
          </cell>
          <cell r="F487">
            <v>3870</v>
          </cell>
          <cell r="G487">
            <v>1150</v>
          </cell>
          <cell r="H487">
            <v>410</v>
          </cell>
          <cell r="I487">
            <v>1143000</v>
          </cell>
          <cell r="J487">
            <v>98200</v>
          </cell>
        </row>
        <row r="488">
          <cell r="B488" t="str">
            <v xml:space="preserve">MICROLYNX UNCONT EXC REP </v>
          </cell>
          <cell r="C488">
            <v>3325</v>
          </cell>
          <cell r="D488">
            <v>2500</v>
          </cell>
          <cell r="E488">
            <v>3000</v>
          </cell>
          <cell r="F488">
            <v>20000</v>
          </cell>
          <cell r="G488">
            <v>6000</v>
          </cell>
          <cell r="H488">
            <v>2100</v>
          </cell>
          <cell r="I488">
            <v>5900000</v>
          </cell>
          <cell r="J488">
            <v>510000</v>
          </cell>
        </row>
        <row r="489">
          <cell r="B489" t="str">
            <v xml:space="preserve">NUVISTA PAL ONLY UNCONT EXC REP  </v>
          </cell>
          <cell r="C489">
            <v>1281</v>
          </cell>
          <cell r="D489">
            <v>960</v>
          </cell>
          <cell r="E489">
            <v>1170</v>
          </cell>
          <cell r="F489">
            <v>7700</v>
          </cell>
          <cell r="G489">
            <v>2300</v>
          </cell>
          <cell r="H489">
            <v>810</v>
          </cell>
          <cell r="I489">
            <v>2273000</v>
          </cell>
          <cell r="J489">
            <v>195300</v>
          </cell>
        </row>
        <row r="490">
          <cell r="B490" t="str">
            <v>132MHz Processor 9500 Uncont Exc Rep</v>
          </cell>
          <cell r="C490">
            <v>1544</v>
          </cell>
          <cell r="D490">
            <v>1160</v>
          </cell>
          <cell r="E490">
            <v>1410</v>
          </cell>
          <cell r="F490">
            <v>9280</v>
          </cell>
          <cell r="G490">
            <v>2770</v>
          </cell>
          <cell r="H490">
            <v>980</v>
          </cell>
          <cell r="I490">
            <v>2739000</v>
          </cell>
          <cell r="J490">
            <v>235400</v>
          </cell>
        </row>
        <row r="491">
          <cell r="B491" t="str">
            <v>150MHz Processor 9500 Uncont Exc Rep</v>
          </cell>
          <cell r="C491">
            <v>1793</v>
          </cell>
          <cell r="D491">
            <v>1340</v>
          </cell>
          <cell r="E491">
            <v>1640</v>
          </cell>
          <cell r="F491">
            <v>10780</v>
          </cell>
          <cell r="G491">
            <v>3210</v>
          </cell>
          <cell r="H491">
            <v>1140</v>
          </cell>
          <cell r="I491">
            <v>3181000</v>
          </cell>
          <cell r="J491">
            <v>273300</v>
          </cell>
        </row>
        <row r="492">
          <cell r="B492" t="str">
            <v>200MHz Processor 9500 Uncont Exc Rep</v>
          </cell>
          <cell r="C492">
            <v>1453</v>
          </cell>
          <cell r="D492">
            <v>1090</v>
          </cell>
          <cell r="E492">
            <v>1330</v>
          </cell>
          <cell r="F492">
            <v>8730</v>
          </cell>
          <cell r="G492">
            <v>2600</v>
          </cell>
          <cell r="H492">
            <v>920</v>
          </cell>
          <cell r="I492">
            <v>2578000</v>
          </cell>
          <cell r="J492">
            <v>221500</v>
          </cell>
        </row>
        <row r="493">
          <cell r="B493" t="str">
            <v>200MHz Processor 9600 Uncont Exc Rep</v>
          </cell>
          <cell r="C493">
            <v>1453</v>
          </cell>
          <cell r="D493">
            <v>1090</v>
          </cell>
          <cell r="E493">
            <v>1330</v>
          </cell>
          <cell r="F493">
            <v>8730</v>
          </cell>
          <cell r="G493">
            <v>2600</v>
          </cell>
          <cell r="H493">
            <v>920</v>
          </cell>
          <cell r="I493">
            <v>2578000</v>
          </cell>
          <cell r="J493">
            <v>221500</v>
          </cell>
        </row>
        <row r="494">
          <cell r="B494" t="str">
            <v xml:space="preserve">ABVB BASE,GASK,SDI UNCONT EXC REP     </v>
          </cell>
          <cell r="C494">
            <v>2400</v>
          </cell>
          <cell r="D494">
            <v>1800</v>
          </cell>
          <cell r="E494">
            <v>2200</v>
          </cell>
          <cell r="F494">
            <v>14400</v>
          </cell>
          <cell r="G494">
            <v>4300</v>
          </cell>
          <cell r="H494">
            <v>1500</v>
          </cell>
          <cell r="I494">
            <v>4300000</v>
          </cell>
          <cell r="J494">
            <v>370000</v>
          </cell>
        </row>
        <row r="495">
          <cell r="B495" t="str">
            <v xml:space="preserve">PCI AUDIOMEDIA III UNCONT EXC REP  </v>
          </cell>
          <cell r="C495">
            <v>818</v>
          </cell>
          <cell r="D495">
            <v>610</v>
          </cell>
          <cell r="E495">
            <v>750</v>
          </cell>
          <cell r="F495">
            <v>4920</v>
          </cell>
          <cell r="G495">
            <v>1470</v>
          </cell>
          <cell r="H495">
            <v>520</v>
          </cell>
          <cell r="I495">
            <v>1451000</v>
          </cell>
          <cell r="J495">
            <v>124700</v>
          </cell>
        </row>
        <row r="496">
          <cell r="B496" t="str">
            <v xml:space="preserve">PCI AMADEUS UNCONT EXC REP  </v>
          </cell>
          <cell r="C496">
            <v>1389</v>
          </cell>
          <cell r="D496">
            <v>1040</v>
          </cell>
          <cell r="E496">
            <v>1270</v>
          </cell>
          <cell r="F496">
            <v>8350</v>
          </cell>
          <cell r="G496">
            <v>2490</v>
          </cell>
          <cell r="H496">
            <v>880</v>
          </cell>
          <cell r="I496">
            <v>2464000</v>
          </cell>
          <cell r="J496">
            <v>211800</v>
          </cell>
        </row>
        <row r="497">
          <cell r="B497" t="str">
            <v xml:space="preserve"> PCI Genie Interface Board Uncont Exc Rep</v>
          </cell>
          <cell r="C497">
            <v>859</v>
          </cell>
          <cell r="D497">
            <v>640</v>
          </cell>
          <cell r="E497">
            <v>790</v>
          </cell>
          <cell r="F497">
            <v>5160</v>
          </cell>
          <cell r="G497">
            <v>1540</v>
          </cell>
          <cell r="H497">
            <v>540</v>
          </cell>
          <cell r="I497">
            <v>1524000</v>
          </cell>
          <cell r="J497">
            <v>131000</v>
          </cell>
        </row>
        <row r="498">
          <cell r="B498" t="str">
            <v xml:space="preserve">PCI AVID COMPONENT TOP UNCONT EXC REP     </v>
          </cell>
          <cell r="C498">
            <v>700</v>
          </cell>
          <cell r="D498">
            <v>530</v>
          </cell>
          <cell r="E498">
            <v>640</v>
          </cell>
          <cell r="F498">
            <v>4210</v>
          </cell>
          <cell r="G498">
            <v>1250</v>
          </cell>
          <cell r="H498">
            <v>440</v>
          </cell>
          <cell r="I498">
            <v>1242000</v>
          </cell>
          <cell r="J498">
            <v>106700</v>
          </cell>
        </row>
        <row r="499">
          <cell r="B499" t="str">
            <v xml:space="preserve">PCI GASKET UNCONT EXC REP    </v>
          </cell>
          <cell r="C499">
            <v>510</v>
          </cell>
          <cell r="D499">
            <v>380</v>
          </cell>
          <cell r="E499">
            <v>470</v>
          </cell>
          <cell r="F499">
            <v>3070</v>
          </cell>
          <cell r="G499">
            <v>910</v>
          </cell>
          <cell r="H499">
            <v>320</v>
          </cell>
          <cell r="I499">
            <v>905000</v>
          </cell>
          <cell r="J499">
            <v>77700</v>
          </cell>
        </row>
        <row r="500">
          <cell r="B500" t="str">
            <v>PCI Genie Card Uncont Exc Rep</v>
          </cell>
          <cell r="C500">
            <v>5848</v>
          </cell>
          <cell r="D500">
            <v>4400</v>
          </cell>
          <cell r="E500">
            <v>5400</v>
          </cell>
          <cell r="F500">
            <v>35100</v>
          </cell>
          <cell r="G500">
            <v>10500</v>
          </cell>
          <cell r="H500">
            <v>3700</v>
          </cell>
          <cell r="I500">
            <v>10400000</v>
          </cell>
          <cell r="J500">
            <v>890000</v>
          </cell>
        </row>
        <row r="501">
          <cell r="B501" t="str">
            <v xml:space="preserve">PCI JANUS UNCONT EXC REP      </v>
          </cell>
          <cell r="C501">
            <v>2411</v>
          </cell>
          <cell r="D501">
            <v>1800</v>
          </cell>
          <cell r="E501">
            <v>2200</v>
          </cell>
          <cell r="F501">
            <v>14500</v>
          </cell>
          <cell r="G501">
            <v>4300</v>
          </cell>
          <cell r="H501">
            <v>1500</v>
          </cell>
          <cell r="I501">
            <v>4300000</v>
          </cell>
          <cell r="J501">
            <v>370000</v>
          </cell>
        </row>
        <row r="502">
          <cell r="B502" t="str">
            <v xml:space="preserve">PCI MANDRILL UNCONT EXC REP     </v>
          </cell>
          <cell r="C502">
            <v>2797</v>
          </cell>
          <cell r="D502">
            <v>2100</v>
          </cell>
          <cell r="E502">
            <v>2600</v>
          </cell>
          <cell r="F502">
            <v>16800</v>
          </cell>
          <cell r="G502">
            <v>5000</v>
          </cell>
          <cell r="H502">
            <v>1800</v>
          </cell>
          <cell r="I502">
            <v>5000000</v>
          </cell>
          <cell r="J502">
            <v>430000</v>
          </cell>
        </row>
        <row r="503">
          <cell r="B503" t="str">
            <v xml:space="preserve">PCI PYTHON UNCONT EXC REP         </v>
          </cell>
          <cell r="C503">
            <v>370</v>
          </cell>
          <cell r="D503">
            <v>280</v>
          </cell>
          <cell r="E503">
            <v>340</v>
          </cell>
          <cell r="F503">
            <v>2220</v>
          </cell>
          <cell r="G503">
            <v>660</v>
          </cell>
          <cell r="H503">
            <v>230</v>
          </cell>
          <cell r="I503">
            <v>656000</v>
          </cell>
          <cell r="J503">
            <v>56400</v>
          </cell>
        </row>
        <row r="504">
          <cell r="B504" t="str">
            <v>SDI  (PCI) Top Uncont Exc Rep</v>
          </cell>
          <cell r="C504">
            <v>1400</v>
          </cell>
          <cell r="D504">
            <v>1050</v>
          </cell>
          <cell r="E504">
            <v>1280</v>
          </cell>
          <cell r="F504">
            <v>8410</v>
          </cell>
          <cell r="G504">
            <v>2510</v>
          </cell>
          <cell r="H504">
            <v>890</v>
          </cell>
          <cell r="I504">
            <v>2484000</v>
          </cell>
          <cell r="J504">
            <v>213400</v>
          </cell>
        </row>
        <row r="505">
          <cell r="B505" t="str">
            <v xml:space="preserve">PCI T2000 BASE UNCONT EXC REP  </v>
          </cell>
          <cell r="C505">
            <v>1913</v>
          </cell>
          <cell r="D505">
            <v>1430</v>
          </cell>
          <cell r="E505">
            <v>1750</v>
          </cell>
          <cell r="F505">
            <v>11500</v>
          </cell>
          <cell r="G505">
            <v>3430</v>
          </cell>
          <cell r="H505">
            <v>1210</v>
          </cell>
          <cell r="I505">
            <v>3394000</v>
          </cell>
          <cell r="J505">
            <v>291600</v>
          </cell>
        </row>
        <row r="506">
          <cell r="B506" t="str">
            <v>Power Supply 9500 Uncont Exc Rep</v>
          </cell>
          <cell r="C506">
            <v>160</v>
          </cell>
          <cell r="D506">
            <v>120</v>
          </cell>
          <cell r="E506">
            <v>150</v>
          </cell>
          <cell r="F506">
            <v>960</v>
          </cell>
          <cell r="G506">
            <v>290</v>
          </cell>
          <cell r="H506">
            <v>100</v>
          </cell>
          <cell r="I506">
            <v>284000</v>
          </cell>
          <cell r="J506">
            <v>24400</v>
          </cell>
        </row>
        <row r="507">
          <cell r="B507" t="str">
            <v>Power Supply 9600 Uncont Exc Rep</v>
          </cell>
          <cell r="C507">
            <v>415</v>
          </cell>
          <cell r="D507">
            <v>310</v>
          </cell>
          <cell r="E507">
            <v>380</v>
          </cell>
          <cell r="F507">
            <v>2490</v>
          </cell>
          <cell r="G507">
            <v>740</v>
          </cell>
          <cell r="H507">
            <v>260</v>
          </cell>
          <cell r="I507">
            <v>736000</v>
          </cell>
          <cell r="J507">
            <v>63300</v>
          </cell>
        </row>
        <row r="508">
          <cell r="B508" t="str">
            <v>Power Supply AMPUncont Exc Rep</v>
          </cell>
          <cell r="C508">
            <v>433</v>
          </cell>
          <cell r="D508">
            <v>320</v>
          </cell>
          <cell r="E508">
            <v>400</v>
          </cell>
          <cell r="F508">
            <v>2600</v>
          </cell>
          <cell r="G508">
            <v>780</v>
          </cell>
          <cell r="H508">
            <v>270</v>
          </cell>
          <cell r="I508">
            <v>768000</v>
          </cell>
          <cell r="J508">
            <v>66000</v>
          </cell>
        </row>
        <row r="509">
          <cell r="B509" t="str">
            <v>Power Supply Q950 Uncont Exc Rep</v>
          </cell>
          <cell r="C509">
            <v>433</v>
          </cell>
          <cell r="D509">
            <v>320</v>
          </cell>
          <cell r="E509">
            <v>400</v>
          </cell>
          <cell r="F509">
            <v>2600</v>
          </cell>
          <cell r="G509">
            <v>780</v>
          </cell>
          <cell r="H509">
            <v>270</v>
          </cell>
          <cell r="I509">
            <v>768000</v>
          </cell>
          <cell r="J509">
            <v>66000</v>
          </cell>
        </row>
        <row r="510">
          <cell r="B510" t="str">
            <v xml:space="preserve">PYTHON BOARD UNCONT EXC REP      </v>
          </cell>
          <cell r="C510">
            <v>742</v>
          </cell>
          <cell r="D510">
            <v>560</v>
          </cell>
          <cell r="E510">
            <v>680</v>
          </cell>
          <cell r="F510">
            <v>4460</v>
          </cell>
          <cell r="G510">
            <v>1330</v>
          </cell>
          <cell r="H510">
            <v>470</v>
          </cell>
          <cell r="I510">
            <v>1316000</v>
          </cell>
          <cell r="J510">
            <v>113100</v>
          </cell>
        </row>
        <row r="511">
          <cell r="B511" t="str">
            <v>Q950 Motherboard Uncont Exc Rep</v>
          </cell>
          <cell r="C511">
            <v>591</v>
          </cell>
          <cell r="D511">
            <v>440</v>
          </cell>
          <cell r="E511">
            <v>540</v>
          </cell>
          <cell r="F511">
            <v>3550</v>
          </cell>
          <cell r="G511">
            <v>1060</v>
          </cell>
          <cell r="H511">
            <v>370</v>
          </cell>
          <cell r="I511">
            <v>1048000</v>
          </cell>
          <cell r="J511">
            <v>90100</v>
          </cell>
        </row>
        <row r="512">
          <cell r="B512" t="str">
            <v xml:space="preserve"> 0GB RMAG CHASSIS UNCONT EXC REP               </v>
          </cell>
          <cell r="C512">
            <v>2975</v>
          </cell>
          <cell r="D512">
            <v>2200</v>
          </cell>
          <cell r="E512">
            <v>2700</v>
          </cell>
          <cell r="F512">
            <v>17900</v>
          </cell>
          <cell r="G512">
            <v>5300</v>
          </cell>
          <cell r="H512">
            <v>1900</v>
          </cell>
          <cell r="I512">
            <v>5300000</v>
          </cell>
          <cell r="J512">
            <v>450000</v>
          </cell>
        </row>
        <row r="513">
          <cell r="B513" t="str">
            <v xml:space="preserve">2GB RMAG MICROPOLIS UNCONT EXC REP   </v>
          </cell>
          <cell r="C513">
            <v>2800</v>
          </cell>
          <cell r="D513">
            <v>2100</v>
          </cell>
          <cell r="E513">
            <v>2600</v>
          </cell>
          <cell r="F513">
            <v>16800</v>
          </cell>
          <cell r="G513">
            <v>5000</v>
          </cell>
          <cell r="H513">
            <v>1800</v>
          </cell>
          <cell r="I513">
            <v>5000000</v>
          </cell>
          <cell r="J513">
            <v>430000</v>
          </cell>
        </row>
        <row r="514">
          <cell r="B514" t="str">
            <v xml:space="preserve">3GB RMAG MICROPOLIS UNCONT EXC REP         </v>
          </cell>
          <cell r="C514">
            <v>2800</v>
          </cell>
          <cell r="D514">
            <v>2100</v>
          </cell>
          <cell r="E514">
            <v>2600</v>
          </cell>
          <cell r="F514">
            <v>16800</v>
          </cell>
          <cell r="G514">
            <v>5000</v>
          </cell>
          <cell r="H514">
            <v>1800</v>
          </cell>
          <cell r="I514">
            <v>5000000</v>
          </cell>
          <cell r="J514">
            <v>430000</v>
          </cell>
        </row>
        <row r="515">
          <cell r="B515" t="str">
            <v xml:space="preserve"> 9GB Removeable Drive for RMAG Uncont Exc Rep</v>
          </cell>
          <cell r="C515">
            <v>1500</v>
          </cell>
          <cell r="D515">
            <v>1130</v>
          </cell>
          <cell r="E515">
            <v>1370</v>
          </cell>
          <cell r="F515">
            <v>9020</v>
          </cell>
          <cell r="G515">
            <v>2690</v>
          </cell>
          <cell r="H515">
            <v>950</v>
          </cell>
          <cell r="I515">
            <v>2661000</v>
          </cell>
          <cell r="J515">
            <v>228700</v>
          </cell>
        </row>
        <row r="516">
          <cell r="B516" t="str">
            <v xml:space="preserve">SA4 UNCONT EXC REP          </v>
          </cell>
          <cell r="C516">
            <v>600</v>
          </cell>
          <cell r="D516">
            <v>450</v>
          </cell>
          <cell r="E516">
            <v>550</v>
          </cell>
          <cell r="F516">
            <v>3610</v>
          </cell>
          <cell r="G516">
            <v>1080</v>
          </cell>
          <cell r="H516">
            <v>380</v>
          </cell>
          <cell r="I516">
            <v>1064000</v>
          </cell>
          <cell r="J516">
            <v>91500</v>
          </cell>
        </row>
        <row r="517">
          <cell r="B517" t="str">
            <v xml:space="preserve">STEENBECK CONTROLLER UNCONT EXC REP             </v>
          </cell>
          <cell r="C517">
            <v>1540</v>
          </cell>
          <cell r="D517">
            <v>1160</v>
          </cell>
          <cell r="E517">
            <v>1410</v>
          </cell>
          <cell r="F517">
            <v>9260</v>
          </cell>
          <cell r="G517">
            <v>2760</v>
          </cell>
          <cell r="H517">
            <v>980</v>
          </cell>
          <cell r="I517">
            <v>2732000</v>
          </cell>
          <cell r="J517">
            <v>234800</v>
          </cell>
        </row>
        <row r="518">
          <cell r="B518" t="str">
            <v>ABVB with SDI  (Nubus) Uncont Exc Rep</v>
          </cell>
          <cell r="C518">
            <v>5740</v>
          </cell>
          <cell r="D518">
            <v>4300</v>
          </cell>
          <cell r="E518">
            <v>5300</v>
          </cell>
          <cell r="F518">
            <v>34500</v>
          </cell>
          <cell r="G518">
            <v>10300</v>
          </cell>
          <cell r="H518">
            <v>3600</v>
          </cell>
          <cell r="I518">
            <v>10200000</v>
          </cell>
          <cell r="J518">
            <v>880000</v>
          </cell>
        </row>
        <row r="519">
          <cell r="B519" t="str">
            <v xml:space="preserve">STUDIOBOARD W/BETACAM TOP UNCONT EXC REP          </v>
          </cell>
          <cell r="C519">
            <v>4270</v>
          </cell>
          <cell r="D519">
            <v>3200</v>
          </cell>
          <cell r="E519">
            <v>3900</v>
          </cell>
          <cell r="F519">
            <v>25700</v>
          </cell>
          <cell r="G519">
            <v>7700</v>
          </cell>
          <cell r="H519">
            <v>2700</v>
          </cell>
          <cell r="I519">
            <v>7600000</v>
          </cell>
          <cell r="J519">
            <v>650000</v>
          </cell>
        </row>
        <row r="520">
          <cell r="B520" t="str">
            <v xml:space="preserve">TRANSOFT SCSI NET UNCONT EXC REP        </v>
          </cell>
          <cell r="C520">
            <v>10150</v>
          </cell>
          <cell r="D520">
            <v>7600</v>
          </cell>
          <cell r="E520">
            <v>9300</v>
          </cell>
          <cell r="F520">
            <v>61000</v>
          </cell>
          <cell r="G520">
            <v>18200</v>
          </cell>
          <cell r="H520">
            <v>6400</v>
          </cell>
          <cell r="I520">
            <v>18000000</v>
          </cell>
          <cell r="J520">
            <v>1550000</v>
          </cell>
        </row>
        <row r="521">
          <cell r="B521" t="str">
            <v>9500 Video Card Uncont Exc Rep</v>
          </cell>
          <cell r="C521">
            <v>720</v>
          </cell>
          <cell r="D521">
            <v>540</v>
          </cell>
          <cell r="E521">
            <v>660</v>
          </cell>
          <cell r="F521">
            <v>4330</v>
          </cell>
          <cell r="G521">
            <v>1290</v>
          </cell>
          <cell r="H521">
            <v>460</v>
          </cell>
          <cell r="I521">
            <v>1277000</v>
          </cell>
          <cell r="J521">
            <v>109800</v>
          </cell>
        </row>
        <row r="522">
          <cell r="B522" t="str">
            <v>9600-200/233 Video Card Uncont Exc Rep</v>
          </cell>
          <cell r="C522">
            <v>924</v>
          </cell>
          <cell r="D522">
            <v>690</v>
          </cell>
          <cell r="E522">
            <v>850</v>
          </cell>
          <cell r="F522">
            <v>5550</v>
          </cell>
          <cell r="G522">
            <v>1660</v>
          </cell>
          <cell r="H522">
            <v>590</v>
          </cell>
          <cell r="I522">
            <v>1639000</v>
          </cell>
          <cell r="J522">
            <v>140900</v>
          </cell>
        </row>
        <row r="523">
          <cell r="B523" t="str">
            <v xml:space="preserve">VIDEO SLAVE DRIVER UNCONT EXC REP         </v>
          </cell>
          <cell r="C523">
            <v>550</v>
          </cell>
          <cell r="D523">
            <v>410</v>
          </cell>
          <cell r="E523">
            <v>500</v>
          </cell>
          <cell r="F523">
            <v>3310</v>
          </cell>
          <cell r="G523">
            <v>990</v>
          </cell>
          <cell r="H523">
            <v>350</v>
          </cell>
          <cell r="I523">
            <v>976000</v>
          </cell>
          <cell r="J523">
            <v>83800</v>
          </cell>
        </row>
        <row r="524">
          <cell r="B524" t="str">
            <v>Elastic Reality for Windows 3.1</v>
          </cell>
          <cell r="C524">
            <v>1299</v>
          </cell>
          <cell r="D524">
            <v>970</v>
          </cell>
          <cell r="E524">
            <v>1190</v>
          </cell>
          <cell r="F524">
            <v>7810</v>
          </cell>
          <cell r="G524">
            <v>2330</v>
          </cell>
          <cell r="H524">
            <v>820</v>
          </cell>
          <cell r="I524">
            <v>2305000</v>
          </cell>
          <cell r="J524">
            <v>198000</v>
          </cell>
        </row>
        <row r="525">
          <cell r="B525" t="str">
            <v>Elastic Reality for Windows 3.1 NOT FOR RESALE</v>
          </cell>
          <cell r="C525">
            <v>199</v>
          </cell>
          <cell r="D525">
            <v>150</v>
          </cell>
          <cell r="E525">
            <v>180</v>
          </cell>
          <cell r="F525">
            <v>1200</v>
          </cell>
          <cell r="G525">
            <v>360</v>
          </cell>
          <cell r="H525">
            <v>130</v>
          </cell>
          <cell r="I525">
            <v>353000</v>
          </cell>
          <cell r="J525">
            <v>30300</v>
          </cell>
        </row>
        <row r="526">
          <cell r="B526" t="str">
            <v>Elastic Reality for Windows 3.1 upgrade</v>
          </cell>
          <cell r="C526">
            <v>99</v>
          </cell>
          <cell r="D526">
            <v>70</v>
          </cell>
          <cell r="E526">
            <v>90</v>
          </cell>
          <cell r="F526">
            <v>600</v>
          </cell>
          <cell r="G526">
            <v>180</v>
          </cell>
          <cell r="H526">
            <v>60</v>
          </cell>
          <cell r="I526">
            <v>176000</v>
          </cell>
          <cell r="J526">
            <v>15100</v>
          </cell>
        </row>
        <row r="527">
          <cell r="B527" t="str">
            <v>Elastic Reality for Windows 3.1 upgrade</v>
          </cell>
          <cell r="C527">
            <v>699</v>
          </cell>
          <cell r="D527">
            <v>520</v>
          </cell>
          <cell r="E527">
            <v>640</v>
          </cell>
          <cell r="F527">
            <v>4200</v>
          </cell>
          <cell r="G527">
            <v>1250</v>
          </cell>
          <cell r="H527">
            <v>440</v>
          </cell>
          <cell r="I527">
            <v>1240000</v>
          </cell>
          <cell r="J527">
            <v>106600</v>
          </cell>
        </row>
        <row r="528">
          <cell r="A528" t="str">
            <v>0100-00710-01</v>
          </cell>
          <cell r="B528" t="str">
            <v>ER  SGI Animator for O2</v>
          </cell>
          <cell r="C528">
            <v>4500</v>
          </cell>
          <cell r="D528">
            <v>3400</v>
          </cell>
          <cell r="E528">
            <v>4100</v>
          </cell>
          <cell r="F528">
            <v>27000</v>
          </cell>
          <cell r="G528">
            <v>8100</v>
          </cell>
          <cell r="H528">
            <v>2900</v>
          </cell>
          <cell r="I528">
            <v>8000000</v>
          </cell>
          <cell r="J528">
            <v>690000</v>
          </cell>
        </row>
        <row r="529">
          <cell r="A529" t="str">
            <v>0100-00311-01</v>
          </cell>
          <cell r="B529" t="str">
            <v>Abekas Driver for SGI</v>
          </cell>
          <cell r="C529">
            <v>1000</v>
          </cell>
          <cell r="D529">
            <v>750</v>
          </cell>
          <cell r="E529">
            <v>920</v>
          </cell>
          <cell r="F529">
            <v>6010</v>
          </cell>
          <cell r="G529">
            <v>1790</v>
          </cell>
          <cell r="H529">
            <v>630</v>
          </cell>
          <cell r="I529">
            <v>1774000</v>
          </cell>
          <cell r="J529">
            <v>152500</v>
          </cell>
        </row>
        <row r="530">
          <cell r="A530" t="str">
            <v>0100-00711-01</v>
          </cell>
          <cell r="B530" t="str">
            <v>Image Independence SGI</v>
          </cell>
          <cell r="C530">
            <v>500</v>
          </cell>
          <cell r="D530">
            <v>380</v>
          </cell>
          <cell r="E530">
            <v>460</v>
          </cell>
          <cell r="F530">
            <v>3010</v>
          </cell>
          <cell r="G530">
            <v>900</v>
          </cell>
          <cell r="H530">
            <v>320</v>
          </cell>
          <cell r="I530">
            <v>887000</v>
          </cell>
          <cell r="J530">
            <v>76200</v>
          </cell>
        </row>
        <row r="531">
          <cell r="A531" t="str">
            <v>0100-00445-01</v>
          </cell>
          <cell r="B531" t="str">
            <v xml:space="preserve">LFX for SGI </v>
          </cell>
          <cell r="C531">
            <v>2500</v>
          </cell>
          <cell r="D531">
            <v>1900</v>
          </cell>
          <cell r="E531">
            <v>2300</v>
          </cell>
          <cell r="F531">
            <v>15000</v>
          </cell>
          <cell r="G531">
            <v>4500</v>
          </cell>
          <cell r="H531">
            <v>1600</v>
          </cell>
          <cell r="I531">
            <v>4400000</v>
          </cell>
          <cell r="J531">
            <v>380000</v>
          </cell>
        </row>
        <row r="532">
          <cell r="B532" t="str">
            <v>(for RMA ONLY) Avid Expansion Chassis Interface card</v>
          </cell>
          <cell r="C532">
            <v>710</v>
          </cell>
          <cell r="D532">
            <v>530</v>
          </cell>
          <cell r="E532">
            <v>650</v>
          </cell>
          <cell r="F532">
            <v>4270</v>
          </cell>
          <cell r="G532">
            <v>1270</v>
          </cell>
          <cell r="H532">
            <v>450</v>
          </cell>
          <cell r="I532">
            <v>1260000</v>
          </cell>
          <cell r="J532">
            <v>108200</v>
          </cell>
        </row>
        <row r="533">
          <cell r="A533" t="str">
            <v>0050-00072-01</v>
          </cell>
          <cell r="B533" t="str">
            <v>Avid Storage Expander (LUT) (Reqs. Atto-4D)</v>
          </cell>
          <cell r="C533">
            <v>1782</v>
          </cell>
          <cell r="D533">
            <v>1300</v>
          </cell>
          <cell r="E533">
            <v>1600</v>
          </cell>
          <cell r="F533">
            <v>10300</v>
          </cell>
          <cell r="G533">
            <v>3100</v>
          </cell>
          <cell r="H533">
            <v>1100</v>
          </cell>
          <cell r="I533">
            <v>3000000</v>
          </cell>
          <cell r="J533">
            <v>260000</v>
          </cell>
        </row>
        <row r="534">
          <cell r="A534" t="str">
            <v>0010-00658-01</v>
          </cell>
          <cell r="B534" t="str">
            <v>Avid Storage Expander 'Wide' (LUT) (Reqs. Atto-4D)</v>
          </cell>
          <cell r="C534">
            <v>1782</v>
          </cell>
          <cell r="D534">
            <v>1300</v>
          </cell>
          <cell r="E534">
            <v>1600</v>
          </cell>
          <cell r="F534">
            <v>10700</v>
          </cell>
          <cell r="G534">
            <v>3200</v>
          </cell>
          <cell r="H534">
            <v>1100</v>
          </cell>
          <cell r="I534">
            <v>3200000</v>
          </cell>
          <cell r="J534">
            <v>270000</v>
          </cell>
        </row>
        <row r="535">
          <cell r="B535" t="str">
            <v>Film Composer Documentation</v>
          </cell>
          <cell r="C535">
            <v>255</v>
          </cell>
          <cell r="D535">
            <v>190</v>
          </cell>
          <cell r="E535">
            <v>230</v>
          </cell>
          <cell r="F535">
            <v>1530</v>
          </cell>
          <cell r="G535">
            <v>460</v>
          </cell>
          <cell r="H535">
            <v>160</v>
          </cell>
          <cell r="I535">
            <v>452000</v>
          </cell>
          <cell r="J535">
            <v>38900</v>
          </cell>
        </row>
        <row r="536">
          <cell r="A536" t="str">
            <v>0500-01798-21</v>
          </cell>
          <cell r="B536" t="str">
            <v xml:space="preserve">Avid Film Composer PCI system </v>
          </cell>
          <cell r="C536">
            <v>50750</v>
          </cell>
          <cell r="D536">
            <v>38100</v>
          </cell>
          <cell r="E536">
            <v>46500</v>
          </cell>
          <cell r="F536">
            <v>305000</v>
          </cell>
          <cell r="G536">
            <v>90900</v>
          </cell>
          <cell r="H536">
            <v>32200</v>
          </cell>
          <cell r="I536">
            <v>90000000</v>
          </cell>
          <cell r="J536">
            <v>7740000</v>
          </cell>
        </row>
        <row r="537">
          <cell r="B537" t="str">
            <v>Avid Film Composer PCI system - G3 based</v>
          </cell>
          <cell r="C537">
            <v>70000</v>
          </cell>
          <cell r="D537">
            <v>52500</v>
          </cell>
          <cell r="E537">
            <v>64100</v>
          </cell>
          <cell r="F537">
            <v>420700</v>
          </cell>
          <cell r="G537">
            <v>125400</v>
          </cell>
          <cell r="H537">
            <v>44400</v>
          </cell>
          <cell r="I537">
            <v>124200000</v>
          </cell>
          <cell r="J537">
            <v>10670000</v>
          </cell>
        </row>
        <row r="538">
          <cell r="B538" t="str">
            <v>Film Composer 12 Month Software Maintenance</v>
          </cell>
          <cell r="C538">
            <v>5604</v>
          </cell>
          <cell r="D538">
            <v>4200</v>
          </cell>
          <cell r="E538">
            <v>5100</v>
          </cell>
          <cell r="F538">
            <v>33700</v>
          </cell>
          <cell r="G538">
            <v>10000</v>
          </cell>
          <cell r="H538">
            <v>3600</v>
          </cell>
          <cell r="I538">
            <v>9900000</v>
          </cell>
          <cell r="J538">
            <v>850000</v>
          </cell>
        </row>
        <row r="539">
          <cell r="B539" t="str">
            <v>Film Composer 24 Month Software Maintenance</v>
          </cell>
          <cell r="C539">
            <v>9863</v>
          </cell>
          <cell r="D539">
            <v>7400</v>
          </cell>
          <cell r="E539">
            <v>9000</v>
          </cell>
          <cell r="F539">
            <v>59300</v>
          </cell>
          <cell r="G539">
            <v>17700</v>
          </cell>
          <cell r="H539">
            <v>6300</v>
          </cell>
          <cell r="I539">
            <v>17500000</v>
          </cell>
          <cell r="J539">
            <v>1500000</v>
          </cell>
        </row>
        <row r="540">
          <cell r="B540" t="str">
            <v>Avid 23GB, 5.25" Drive (Wide)</v>
          </cell>
          <cell r="C540">
            <v>4600</v>
          </cell>
          <cell r="D540">
            <v>3500</v>
          </cell>
          <cell r="E540">
            <v>4200</v>
          </cell>
          <cell r="F540">
            <v>27600</v>
          </cell>
          <cell r="G540">
            <v>8200</v>
          </cell>
          <cell r="H540">
            <v>2900</v>
          </cell>
          <cell r="I540">
            <v>8200000</v>
          </cell>
          <cell r="J540">
            <v>700000</v>
          </cell>
        </row>
        <row r="541">
          <cell r="B541" t="str">
            <v>Avid 9GB, 5.25" Fixed Drive</v>
          </cell>
          <cell r="C541">
            <v>1695</v>
          </cell>
          <cell r="D541">
            <v>1270</v>
          </cell>
          <cell r="E541">
            <v>1550</v>
          </cell>
          <cell r="F541">
            <v>10190</v>
          </cell>
          <cell r="G541">
            <v>3040</v>
          </cell>
          <cell r="H541">
            <v>1070</v>
          </cell>
          <cell r="I541">
            <v>3007000</v>
          </cell>
          <cell r="J541">
            <v>258400</v>
          </cell>
        </row>
        <row r="542">
          <cell r="B542" t="str">
            <v>Avid 9GB, 3.5" Drive (Wide)</v>
          </cell>
          <cell r="C542">
            <v>2454</v>
          </cell>
          <cell r="D542">
            <v>1800</v>
          </cell>
          <cell r="E542">
            <v>2200</v>
          </cell>
          <cell r="F542">
            <v>14700</v>
          </cell>
          <cell r="G542">
            <v>4400</v>
          </cell>
          <cell r="H542">
            <v>1600</v>
          </cell>
          <cell r="I542">
            <v>4400000</v>
          </cell>
          <cell r="J542">
            <v>370000</v>
          </cell>
        </row>
        <row r="543">
          <cell r="A543" t="str">
            <v>0020-00476-01</v>
          </cell>
          <cell r="B543" t="str">
            <v>iS18 Pro Fixed 3.5" LP - IBM - for G&amp;E only</v>
          </cell>
          <cell r="C543">
            <v>1833</v>
          </cell>
          <cell r="D543">
            <v>1400</v>
          </cell>
          <cell r="E543">
            <v>1700</v>
          </cell>
          <cell r="F543">
            <v>11000</v>
          </cell>
          <cell r="G543">
            <v>3300</v>
          </cell>
          <cell r="H543">
            <v>1200</v>
          </cell>
          <cell r="I543">
            <v>3300000</v>
          </cell>
          <cell r="J543">
            <v>280000</v>
          </cell>
        </row>
        <row r="544">
          <cell r="A544" t="str">
            <v>0020-00467-01</v>
          </cell>
          <cell r="B544" t="str">
            <v xml:space="preserve">Avid 18GB iS Pro, 3.5"  ultra-SCSI Drive  </v>
          </cell>
          <cell r="C544">
            <v>1653</v>
          </cell>
          <cell r="D544">
            <v>1200</v>
          </cell>
          <cell r="E544">
            <v>1500</v>
          </cell>
          <cell r="F544">
            <v>9900</v>
          </cell>
          <cell r="G544">
            <v>3000</v>
          </cell>
          <cell r="H544">
            <v>1000</v>
          </cell>
          <cell r="I544">
            <v>2900000</v>
          </cell>
          <cell r="J544">
            <v>250000</v>
          </cell>
        </row>
        <row r="545">
          <cell r="A545" t="str">
            <v>0020-00475-01</v>
          </cell>
          <cell r="B545" t="str">
            <v>iS9 Pro Fixed 3.5" LP - IBM - for G&amp;E only</v>
          </cell>
          <cell r="C545">
            <v>1053</v>
          </cell>
          <cell r="D545">
            <v>800</v>
          </cell>
          <cell r="E545">
            <v>1000</v>
          </cell>
          <cell r="F545">
            <v>6300</v>
          </cell>
          <cell r="G545">
            <v>1900</v>
          </cell>
          <cell r="H545">
            <v>700</v>
          </cell>
          <cell r="I545">
            <v>1900000</v>
          </cell>
          <cell r="J545">
            <v>160000</v>
          </cell>
        </row>
        <row r="546">
          <cell r="A546" t="str">
            <v>0020-00469-01</v>
          </cell>
          <cell r="B546" t="str">
            <v>Avid 9GB iS Pro , 3.5" ultra-SCSI Drive</v>
          </cell>
          <cell r="C546">
            <v>1053</v>
          </cell>
          <cell r="D546">
            <v>800</v>
          </cell>
          <cell r="E546">
            <v>1000</v>
          </cell>
          <cell r="F546">
            <v>6300</v>
          </cell>
          <cell r="G546">
            <v>1900</v>
          </cell>
          <cell r="H546">
            <v>700</v>
          </cell>
          <cell r="I546">
            <v>1900000</v>
          </cell>
          <cell r="J546">
            <v>160000</v>
          </cell>
        </row>
        <row r="547">
          <cell r="B547" t="str">
            <v>Avid Online Tower, 51GB</v>
          </cell>
          <cell r="C547">
            <v>23300</v>
          </cell>
          <cell r="D547">
            <v>17500</v>
          </cell>
          <cell r="E547">
            <v>21300</v>
          </cell>
          <cell r="F547">
            <v>140000</v>
          </cell>
          <cell r="G547">
            <v>41800</v>
          </cell>
          <cell r="H547">
            <v>14800</v>
          </cell>
          <cell r="I547">
            <v>41300000</v>
          </cell>
          <cell r="J547">
            <v>3550000</v>
          </cell>
        </row>
        <row r="548">
          <cell r="B548" t="str">
            <v>Avid Offline Tower, 60GB</v>
          </cell>
          <cell r="C548">
            <v>27300</v>
          </cell>
          <cell r="D548">
            <v>20500</v>
          </cell>
          <cell r="E548">
            <v>25000</v>
          </cell>
          <cell r="F548">
            <v>164100</v>
          </cell>
          <cell r="G548">
            <v>48900</v>
          </cell>
          <cell r="H548">
            <v>17300</v>
          </cell>
          <cell r="I548">
            <v>48400000</v>
          </cell>
          <cell r="J548">
            <v>4160000</v>
          </cell>
        </row>
        <row r="549">
          <cell r="B549" t="str">
            <v>French keyboard with Avid keycaps</v>
          </cell>
          <cell r="C549">
            <v>199</v>
          </cell>
          <cell r="D549">
            <v>150</v>
          </cell>
          <cell r="E549">
            <v>180</v>
          </cell>
          <cell r="F549">
            <v>1200</v>
          </cell>
          <cell r="G549">
            <v>360</v>
          </cell>
          <cell r="H549">
            <v>130</v>
          </cell>
          <cell r="I549">
            <v>353000</v>
          </cell>
          <cell r="J549">
            <v>30300</v>
          </cell>
        </row>
        <row r="550">
          <cell r="B550" t="str">
            <v>German keyboard with Avid keycaps</v>
          </cell>
          <cell r="C550">
            <v>199</v>
          </cell>
          <cell r="D550">
            <v>150</v>
          </cell>
          <cell r="E550">
            <v>180</v>
          </cell>
          <cell r="F550">
            <v>1200</v>
          </cell>
          <cell r="G550">
            <v>360</v>
          </cell>
          <cell r="H550">
            <v>130</v>
          </cell>
          <cell r="I550">
            <v>353000</v>
          </cell>
          <cell r="J550">
            <v>30300</v>
          </cell>
        </row>
        <row r="551">
          <cell r="A551" t="str">
            <v>0100-00455-02</v>
          </cell>
          <cell r="B551" t="str">
            <v>Illusion for O2</v>
          </cell>
          <cell r="C551">
            <v>24800</v>
          </cell>
          <cell r="D551">
            <v>18600</v>
          </cell>
          <cell r="E551">
            <v>22700</v>
          </cell>
          <cell r="F551">
            <v>149100</v>
          </cell>
          <cell r="G551">
            <v>44400</v>
          </cell>
          <cell r="H551">
            <v>15700</v>
          </cell>
          <cell r="I551">
            <v>44000000</v>
          </cell>
          <cell r="J551">
            <v>3780000</v>
          </cell>
        </row>
        <row r="552">
          <cell r="B552" t="str">
            <v>Media Illusion + SOFTIMAGE 3D Promo</v>
          </cell>
          <cell r="C552">
            <v>31000</v>
          </cell>
          <cell r="D552">
            <v>23300</v>
          </cell>
          <cell r="E552">
            <v>28400</v>
          </cell>
          <cell r="F552">
            <v>186300</v>
          </cell>
          <cell r="G552">
            <v>55600</v>
          </cell>
          <cell r="H552">
            <v>19600</v>
          </cell>
          <cell r="I552">
            <v>55000000</v>
          </cell>
          <cell r="J552">
            <v>4730000</v>
          </cell>
        </row>
        <row r="553">
          <cell r="B553" t="str">
            <v>Media Illusion+SOFTIMAGE 3D-Elastic Reality Promo</v>
          </cell>
          <cell r="C553">
            <v>35000</v>
          </cell>
          <cell r="D553">
            <v>26300</v>
          </cell>
          <cell r="E553">
            <v>32100</v>
          </cell>
          <cell r="F553">
            <v>210400</v>
          </cell>
          <cell r="G553">
            <v>62700</v>
          </cell>
          <cell r="H553">
            <v>22200</v>
          </cell>
          <cell r="I553">
            <v>62100000</v>
          </cell>
          <cell r="J553">
            <v>5340000</v>
          </cell>
        </row>
        <row r="554">
          <cell r="A554" t="str">
            <v>0100-00693-01</v>
          </cell>
          <cell r="B554" t="str">
            <v>Illusion Back Rend for O2</v>
          </cell>
          <cell r="C554">
            <v>4800</v>
          </cell>
          <cell r="D554">
            <v>3600</v>
          </cell>
          <cell r="E554">
            <v>4400</v>
          </cell>
          <cell r="F554">
            <v>28800</v>
          </cell>
          <cell r="G554">
            <v>8600</v>
          </cell>
          <cell r="H554">
            <v>3000</v>
          </cell>
          <cell r="I554">
            <v>8500000</v>
          </cell>
          <cell r="J554">
            <v>730000</v>
          </cell>
        </row>
        <row r="555">
          <cell r="A555" t="str">
            <v>0100-00654-01</v>
          </cell>
          <cell r="B555" t="str">
            <v>Illusion Back Rend for Octane</v>
          </cell>
          <cell r="C555">
            <v>6000</v>
          </cell>
          <cell r="D555">
            <v>4500</v>
          </cell>
          <cell r="E555">
            <v>5500</v>
          </cell>
          <cell r="F555">
            <v>36100</v>
          </cell>
          <cell r="G555">
            <v>10800</v>
          </cell>
          <cell r="H555">
            <v>3800</v>
          </cell>
          <cell r="I555">
            <v>10600000</v>
          </cell>
          <cell r="J555">
            <v>910000</v>
          </cell>
        </row>
        <row r="556">
          <cell r="A556" t="str">
            <v>0010-00920-01</v>
          </cell>
          <cell r="B556" t="str">
            <v>Illusion ,Doc Set</v>
          </cell>
          <cell r="C556">
            <v>350</v>
          </cell>
          <cell r="D556">
            <v>260</v>
          </cell>
          <cell r="E556">
            <v>320</v>
          </cell>
          <cell r="F556">
            <v>2100</v>
          </cell>
          <cell r="G556">
            <v>630</v>
          </cell>
          <cell r="H556">
            <v>220</v>
          </cell>
          <cell r="I556">
            <v>621000</v>
          </cell>
          <cell r="J556">
            <v>53400</v>
          </cell>
        </row>
        <row r="557">
          <cell r="A557" t="str">
            <v>0010-00654-01</v>
          </cell>
          <cell r="B557" t="str">
            <v>Illusion,Eval</v>
          </cell>
          <cell r="C557">
            <v>200</v>
          </cell>
          <cell r="D557">
            <v>150</v>
          </cell>
          <cell r="E557">
            <v>180</v>
          </cell>
          <cell r="F557">
            <v>1200</v>
          </cell>
          <cell r="G557">
            <v>360</v>
          </cell>
          <cell r="H557">
            <v>130</v>
          </cell>
          <cell r="I557">
            <v>355000</v>
          </cell>
          <cell r="J557">
            <v>30500</v>
          </cell>
        </row>
        <row r="558">
          <cell r="A558" t="str">
            <v>0100-00827-02</v>
          </cell>
          <cell r="B558" t="str">
            <v>Illusion for Octane</v>
          </cell>
          <cell r="C558">
            <v>31000</v>
          </cell>
          <cell r="D558">
            <v>23300</v>
          </cell>
          <cell r="E558">
            <v>28400</v>
          </cell>
          <cell r="F558">
            <v>186300</v>
          </cell>
          <cell r="G558">
            <v>55600</v>
          </cell>
          <cell r="H558">
            <v>19600</v>
          </cell>
          <cell r="I558">
            <v>55000000</v>
          </cell>
          <cell r="J558">
            <v>4730000</v>
          </cell>
        </row>
        <row r="559">
          <cell r="A559" t="str">
            <v>0100-00833-01</v>
          </cell>
          <cell r="B559" t="str">
            <v>Illusion Primatte</v>
          </cell>
          <cell r="C559">
            <v>7000</v>
          </cell>
          <cell r="D559">
            <v>5300</v>
          </cell>
          <cell r="E559">
            <v>6400</v>
          </cell>
          <cell r="F559">
            <v>42100</v>
          </cell>
          <cell r="G559">
            <v>12500</v>
          </cell>
          <cell r="H559">
            <v>4400</v>
          </cell>
          <cell r="I559">
            <v>12400000</v>
          </cell>
          <cell r="J559">
            <v>1070000</v>
          </cell>
        </row>
        <row r="560">
          <cell r="A560" t="str">
            <v>0100-00852-01</v>
          </cell>
          <cell r="B560" t="str">
            <v>IllusionTinder Tools</v>
          </cell>
          <cell r="C560">
            <v>3500</v>
          </cell>
          <cell r="D560">
            <v>2600</v>
          </cell>
          <cell r="E560">
            <v>3200</v>
          </cell>
          <cell r="F560">
            <v>21000</v>
          </cell>
          <cell r="G560">
            <v>6300</v>
          </cell>
          <cell r="H560">
            <v>2200</v>
          </cell>
          <cell r="I560">
            <v>6200000</v>
          </cell>
          <cell r="J560">
            <v>530000</v>
          </cell>
        </row>
        <row r="561">
          <cell r="A561" t="str">
            <v>0100-00496-01</v>
          </cell>
          <cell r="B561" t="str">
            <v>Illusion Ultimatte</v>
          </cell>
          <cell r="C561">
            <v>10000</v>
          </cell>
          <cell r="D561">
            <v>7500</v>
          </cell>
          <cell r="E561">
            <v>9200</v>
          </cell>
          <cell r="F561">
            <v>60100</v>
          </cell>
          <cell r="G561">
            <v>17900</v>
          </cell>
          <cell r="H561">
            <v>6300</v>
          </cell>
          <cell r="I561">
            <v>17700000</v>
          </cell>
          <cell r="J561">
            <v>1520000</v>
          </cell>
        </row>
        <row r="562">
          <cell r="B562" t="str">
            <v>Informix Software Package</v>
          </cell>
          <cell r="C562">
            <v>1878</v>
          </cell>
          <cell r="D562">
            <v>1410</v>
          </cell>
          <cell r="E562">
            <v>1720</v>
          </cell>
          <cell r="F562">
            <v>11290</v>
          </cell>
          <cell r="G562">
            <v>3370</v>
          </cell>
          <cell r="H562">
            <v>1190</v>
          </cell>
          <cell r="I562">
            <v>3332000</v>
          </cell>
          <cell r="J562">
            <v>286300</v>
          </cell>
        </row>
        <row r="563">
          <cell r="B563" t="str">
            <v>International keyboard with Avid keycaps</v>
          </cell>
          <cell r="C563">
            <v>199</v>
          </cell>
          <cell r="D563">
            <v>150</v>
          </cell>
          <cell r="E563">
            <v>180</v>
          </cell>
          <cell r="F563">
            <v>1200</v>
          </cell>
          <cell r="G563">
            <v>360</v>
          </cell>
          <cell r="H563">
            <v>130</v>
          </cell>
          <cell r="I563">
            <v>353000</v>
          </cell>
          <cell r="J563">
            <v>30300</v>
          </cell>
        </row>
        <row r="564">
          <cell r="B564" t="str">
            <v>Media Server Integration Package DM</v>
          </cell>
          <cell r="C564">
            <v>133900</v>
          </cell>
          <cell r="D564">
            <v>100400</v>
          </cell>
          <cell r="E564">
            <v>122700</v>
          </cell>
          <cell r="F564">
            <v>804800</v>
          </cell>
          <cell r="G564">
            <v>240000</v>
          </cell>
          <cell r="H564">
            <v>84900</v>
          </cell>
          <cell r="I564">
            <v>237600000</v>
          </cell>
          <cell r="J564">
            <v>20410000</v>
          </cell>
        </row>
        <row r="565">
          <cell r="B565" t="str">
            <v>MediaServer Integration Package (Origin 2000)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</row>
        <row r="566">
          <cell r="B566" t="str">
            <v>Media Server Integration Package XL</v>
          </cell>
          <cell r="C566">
            <v>174300</v>
          </cell>
          <cell r="D566">
            <v>130700</v>
          </cell>
          <cell r="E566">
            <v>159700</v>
          </cell>
          <cell r="F566">
            <v>1047600</v>
          </cell>
          <cell r="G566">
            <v>312300</v>
          </cell>
          <cell r="H566">
            <v>110500</v>
          </cell>
          <cell r="I566">
            <v>309200000</v>
          </cell>
          <cell r="J566">
            <v>26570000</v>
          </cell>
        </row>
        <row r="567">
          <cell r="A567" t="str">
            <v>0100-00942-01</v>
          </cell>
          <cell r="B567" t="str">
            <v>Intraframe/Paint Tool, Mac</v>
          </cell>
          <cell r="C567">
            <v>4500</v>
          </cell>
          <cell r="D567">
            <v>3400</v>
          </cell>
          <cell r="E567">
            <v>4100</v>
          </cell>
          <cell r="F567">
            <v>27000</v>
          </cell>
          <cell r="G567">
            <v>8100</v>
          </cell>
          <cell r="H567">
            <v>2900</v>
          </cell>
          <cell r="I567">
            <v>8000000</v>
          </cell>
          <cell r="J567">
            <v>690000</v>
          </cell>
        </row>
        <row r="568">
          <cell r="B568" t="str">
            <v>Advanced JPEG Board Only</v>
          </cell>
          <cell r="C568">
            <v>3865.4361600000002</v>
          </cell>
          <cell r="D568">
            <v>2900</v>
          </cell>
          <cell r="E568">
            <v>3500</v>
          </cell>
          <cell r="F568">
            <v>23200</v>
          </cell>
          <cell r="G568">
            <v>6900</v>
          </cell>
          <cell r="H568">
            <v>2400</v>
          </cell>
          <cell r="I568">
            <v>6900000</v>
          </cell>
          <cell r="J568">
            <v>590000</v>
          </cell>
        </row>
        <row r="569">
          <cell r="B569" t="str">
            <v>Broadcast KEYCAPS (AirPlay)</v>
          </cell>
          <cell r="C569">
            <v>60</v>
          </cell>
          <cell r="D569">
            <v>50</v>
          </cell>
          <cell r="E569">
            <v>50</v>
          </cell>
          <cell r="F569">
            <v>360</v>
          </cell>
          <cell r="G569">
            <v>110</v>
          </cell>
          <cell r="H569">
            <v>40</v>
          </cell>
          <cell r="I569">
            <v>106000</v>
          </cell>
          <cell r="J569">
            <v>9100</v>
          </cell>
        </row>
        <row r="570">
          <cell r="B570" t="str">
            <v>Broadcast KEYCAPS (NewsCutter)</v>
          </cell>
          <cell r="C570">
            <v>85</v>
          </cell>
          <cell r="D570">
            <v>60</v>
          </cell>
          <cell r="E570">
            <v>80</v>
          </cell>
          <cell r="F570">
            <v>510</v>
          </cell>
          <cell r="G570">
            <v>150</v>
          </cell>
          <cell r="H570">
            <v>50</v>
          </cell>
          <cell r="I570">
            <v>151000</v>
          </cell>
          <cell r="J570">
            <v>13000</v>
          </cell>
        </row>
        <row r="571">
          <cell r="B571" t="str">
            <v>Transfer License from one system to another</v>
          </cell>
          <cell r="C571">
            <v>1000</v>
          </cell>
          <cell r="D571">
            <v>750</v>
          </cell>
          <cell r="E571">
            <v>920</v>
          </cell>
          <cell r="F571">
            <v>6010</v>
          </cell>
          <cell r="G571">
            <v>1790</v>
          </cell>
          <cell r="H571">
            <v>630</v>
          </cell>
          <cell r="I571">
            <v>1774000</v>
          </cell>
          <cell r="J571">
            <v>152500</v>
          </cell>
        </row>
        <row r="572">
          <cell r="A572" t="str">
            <v>0505-00017-01</v>
          </cell>
          <cell r="B572" t="str">
            <v>Marquee for WindowsNT - Retail</v>
          </cell>
          <cell r="C572">
            <v>7495</v>
          </cell>
          <cell r="D572">
            <v>5600</v>
          </cell>
          <cell r="E572">
            <v>6900</v>
          </cell>
          <cell r="F572">
            <v>45000</v>
          </cell>
          <cell r="G572">
            <v>13400</v>
          </cell>
          <cell r="H572">
            <v>4800</v>
          </cell>
          <cell r="I572">
            <v>13300000</v>
          </cell>
          <cell r="J572">
            <v>1140000</v>
          </cell>
        </row>
        <row r="573">
          <cell r="A573" t="str">
            <v>0505-00018-01</v>
          </cell>
          <cell r="B573" t="str">
            <v>Marquee for Windows NT - NFR</v>
          </cell>
          <cell r="C573">
            <v>299</v>
          </cell>
          <cell r="D573">
            <v>220</v>
          </cell>
          <cell r="E573">
            <v>270</v>
          </cell>
          <cell r="F573">
            <v>1800</v>
          </cell>
          <cell r="G573">
            <v>540</v>
          </cell>
          <cell r="H573">
            <v>190</v>
          </cell>
          <cell r="I573">
            <v>530000</v>
          </cell>
          <cell r="J573">
            <v>45600</v>
          </cell>
        </row>
        <row r="574">
          <cell r="A574" t="str">
            <v>0505-00019-01</v>
          </cell>
          <cell r="B574" t="str">
            <v>Marquee for SGI - Retail</v>
          </cell>
          <cell r="C574">
            <v>7495</v>
          </cell>
          <cell r="D574">
            <v>5600</v>
          </cell>
          <cell r="E574">
            <v>6900</v>
          </cell>
          <cell r="F574">
            <v>45000</v>
          </cell>
          <cell r="G574">
            <v>13400</v>
          </cell>
          <cell r="H574">
            <v>4800</v>
          </cell>
          <cell r="I574">
            <v>13300000</v>
          </cell>
          <cell r="J574">
            <v>1140000</v>
          </cell>
        </row>
        <row r="575">
          <cell r="A575" t="str">
            <v>0505-00020-01</v>
          </cell>
          <cell r="B575" t="str">
            <v>Marquee for SGI - NFR</v>
          </cell>
          <cell r="C575">
            <v>299</v>
          </cell>
          <cell r="D575">
            <v>220</v>
          </cell>
          <cell r="E575">
            <v>270</v>
          </cell>
          <cell r="F575">
            <v>1800</v>
          </cell>
          <cell r="G575">
            <v>540</v>
          </cell>
          <cell r="H575">
            <v>190</v>
          </cell>
          <cell r="I575">
            <v>530000</v>
          </cell>
          <cell r="J575">
            <v>45600</v>
          </cell>
        </row>
        <row r="576">
          <cell r="A576" t="str">
            <v>0100-00650-02</v>
          </cell>
          <cell r="B576" t="str">
            <v xml:space="preserve">Matador 64 bit </v>
          </cell>
          <cell r="C576">
            <v>2500</v>
          </cell>
          <cell r="D576">
            <v>1900</v>
          </cell>
          <cell r="E576">
            <v>2300</v>
          </cell>
          <cell r="F576">
            <v>15000</v>
          </cell>
          <cell r="G576">
            <v>4500</v>
          </cell>
          <cell r="H576">
            <v>1600</v>
          </cell>
          <cell r="I576">
            <v>4400000</v>
          </cell>
          <cell r="J576">
            <v>380000</v>
          </cell>
        </row>
        <row r="577">
          <cell r="A577" t="str">
            <v>0100-00467-02</v>
          </cell>
          <cell r="B577" t="str">
            <v>Matador Animator for O2</v>
          </cell>
          <cell r="C577">
            <v>14000</v>
          </cell>
          <cell r="D577">
            <v>10500</v>
          </cell>
          <cell r="E577">
            <v>12800</v>
          </cell>
          <cell r="F577">
            <v>84100</v>
          </cell>
          <cell r="G577">
            <v>25100</v>
          </cell>
          <cell r="H577">
            <v>8900</v>
          </cell>
          <cell r="I577">
            <v>24800000</v>
          </cell>
          <cell r="J577">
            <v>2130000</v>
          </cell>
        </row>
        <row r="578">
          <cell r="A578" t="str">
            <v>0100-00647-02</v>
          </cell>
          <cell r="B578" t="str">
            <v>Matador Animator for Octane</v>
          </cell>
          <cell r="C578">
            <v>17500</v>
          </cell>
          <cell r="D578">
            <v>13100</v>
          </cell>
          <cell r="E578">
            <v>16000</v>
          </cell>
          <cell r="F578">
            <v>105200</v>
          </cell>
          <cell r="G578">
            <v>31400</v>
          </cell>
          <cell r="H578">
            <v>11100</v>
          </cell>
          <cell r="I578">
            <v>31000000</v>
          </cell>
          <cell r="J578">
            <v>2670000</v>
          </cell>
        </row>
        <row r="579">
          <cell r="B579" t="str">
            <v>Matador Animator for O2,Maint</v>
          </cell>
          <cell r="C579">
            <v>1540</v>
          </cell>
          <cell r="D579">
            <v>1160</v>
          </cell>
          <cell r="E579">
            <v>1410</v>
          </cell>
          <cell r="F579">
            <v>9260</v>
          </cell>
          <cell r="G579">
            <v>2760</v>
          </cell>
          <cell r="H579">
            <v>980</v>
          </cell>
          <cell r="I579">
            <v>2732000</v>
          </cell>
          <cell r="J579">
            <v>234800</v>
          </cell>
        </row>
        <row r="580">
          <cell r="A580" t="str">
            <v>0100-00849-02</v>
          </cell>
          <cell r="B580" t="str">
            <v>Matador Back Rend for O2</v>
          </cell>
          <cell r="C580">
            <v>4800</v>
          </cell>
          <cell r="D580">
            <v>3600</v>
          </cell>
          <cell r="E580">
            <v>4400</v>
          </cell>
          <cell r="F580">
            <v>28800</v>
          </cell>
          <cell r="G580">
            <v>8600</v>
          </cell>
          <cell r="H580">
            <v>3000</v>
          </cell>
          <cell r="I580">
            <v>8500000</v>
          </cell>
          <cell r="J580">
            <v>730000</v>
          </cell>
        </row>
        <row r="581">
          <cell r="A581" t="str">
            <v>0100-00850-02</v>
          </cell>
          <cell r="B581" t="str">
            <v>Matador Back Rend for Octane</v>
          </cell>
          <cell r="C581">
            <v>6000</v>
          </cell>
          <cell r="D581">
            <v>4500</v>
          </cell>
          <cell r="E581">
            <v>5500</v>
          </cell>
          <cell r="F581">
            <v>36100</v>
          </cell>
          <cell r="G581">
            <v>10800</v>
          </cell>
          <cell r="H581">
            <v>3800</v>
          </cell>
          <cell r="I581">
            <v>10600000</v>
          </cell>
          <cell r="J581">
            <v>910000</v>
          </cell>
        </row>
        <row r="582">
          <cell r="B582" t="str">
            <v>Matador Back Rend for O2,  Maint</v>
          </cell>
          <cell r="C582">
            <v>530</v>
          </cell>
          <cell r="D582">
            <v>400</v>
          </cell>
          <cell r="E582">
            <v>490</v>
          </cell>
          <cell r="F582">
            <v>3190</v>
          </cell>
          <cell r="G582">
            <v>950</v>
          </cell>
          <cell r="H582">
            <v>340</v>
          </cell>
          <cell r="I582">
            <v>940000</v>
          </cell>
          <cell r="J582">
            <v>80800</v>
          </cell>
        </row>
        <row r="583">
          <cell r="A583" t="str">
            <v>0100-00820-02</v>
          </cell>
          <cell r="B583" t="str">
            <v>Matador Color Reduction</v>
          </cell>
          <cell r="C583">
            <v>2500</v>
          </cell>
          <cell r="D583">
            <v>1900</v>
          </cell>
          <cell r="E583">
            <v>2300</v>
          </cell>
          <cell r="F583">
            <v>15000</v>
          </cell>
          <cell r="G583">
            <v>4500</v>
          </cell>
          <cell r="H583">
            <v>1600</v>
          </cell>
          <cell r="I583">
            <v>4400000</v>
          </cell>
          <cell r="J583">
            <v>380000</v>
          </cell>
        </row>
        <row r="584">
          <cell r="A584" t="str">
            <v>0010-00921-01</v>
          </cell>
          <cell r="B584" t="str">
            <v>Matador ,Doc Set</v>
          </cell>
          <cell r="C584">
            <v>350</v>
          </cell>
          <cell r="D584">
            <v>260</v>
          </cell>
          <cell r="E584">
            <v>320</v>
          </cell>
          <cell r="F584">
            <v>2100</v>
          </cell>
          <cell r="G584">
            <v>630</v>
          </cell>
          <cell r="H584">
            <v>220</v>
          </cell>
          <cell r="I584">
            <v>621000</v>
          </cell>
          <cell r="J584">
            <v>53400</v>
          </cell>
        </row>
        <row r="585">
          <cell r="A585" t="str">
            <v>0010-00655-01</v>
          </cell>
          <cell r="B585" t="str">
            <v>Matador,Eval incl. CD-R</v>
          </cell>
          <cell r="C585">
            <v>100</v>
          </cell>
          <cell r="D585">
            <v>80</v>
          </cell>
          <cell r="E585">
            <v>90</v>
          </cell>
          <cell r="F585">
            <v>600</v>
          </cell>
          <cell r="G585">
            <v>180</v>
          </cell>
          <cell r="H585">
            <v>60</v>
          </cell>
          <cell r="I585">
            <v>177000</v>
          </cell>
          <cell r="J585">
            <v>15200</v>
          </cell>
        </row>
        <row r="586">
          <cell r="A586" t="str">
            <v>0100-00648-02</v>
          </cell>
          <cell r="B586" t="str">
            <v>Matador Pantone Col Ref</v>
          </cell>
          <cell r="C586">
            <v>1400</v>
          </cell>
          <cell r="D586">
            <v>1050</v>
          </cell>
          <cell r="E586">
            <v>1280</v>
          </cell>
          <cell r="F586">
            <v>8410</v>
          </cell>
          <cell r="G586">
            <v>2510</v>
          </cell>
          <cell r="H586">
            <v>890</v>
          </cell>
          <cell r="I586">
            <v>2484000</v>
          </cell>
          <cell r="J586">
            <v>213400</v>
          </cell>
        </row>
        <row r="587">
          <cell r="A587" t="str">
            <v>0100-00469-02</v>
          </cell>
          <cell r="B587" t="str">
            <v>Matador Paint for O2</v>
          </cell>
          <cell r="C587">
            <v>10000</v>
          </cell>
          <cell r="D587">
            <v>7500</v>
          </cell>
          <cell r="E587">
            <v>9200</v>
          </cell>
          <cell r="F587">
            <v>60100</v>
          </cell>
          <cell r="G587">
            <v>17900</v>
          </cell>
          <cell r="H587">
            <v>6300</v>
          </cell>
          <cell r="I587">
            <v>17700000</v>
          </cell>
          <cell r="J587">
            <v>1520000</v>
          </cell>
        </row>
        <row r="588">
          <cell r="A588" t="str">
            <v>0100-00646-02</v>
          </cell>
          <cell r="B588" t="str">
            <v>Matador Paint for Octane</v>
          </cell>
          <cell r="C588">
            <v>12500</v>
          </cell>
          <cell r="D588">
            <v>9400</v>
          </cell>
          <cell r="E588">
            <v>11500</v>
          </cell>
          <cell r="F588">
            <v>75100</v>
          </cell>
          <cell r="G588">
            <v>22400</v>
          </cell>
          <cell r="H588">
            <v>7900</v>
          </cell>
          <cell r="I588">
            <v>22200000</v>
          </cell>
          <cell r="J588">
            <v>1910000</v>
          </cell>
        </row>
        <row r="589">
          <cell r="B589" t="str">
            <v>Media Composer Documentation</v>
          </cell>
          <cell r="C589">
            <v>255</v>
          </cell>
          <cell r="D589">
            <v>190</v>
          </cell>
          <cell r="E589">
            <v>230</v>
          </cell>
          <cell r="F589">
            <v>1530</v>
          </cell>
          <cell r="G589">
            <v>460</v>
          </cell>
          <cell r="H589">
            <v>160</v>
          </cell>
          <cell r="I589">
            <v>452000</v>
          </cell>
          <cell r="J589">
            <v>38900</v>
          </cell>
        </row>
        <row r="590">
          <cell r="A590" t="str">
            <v>0100-03140-01</v>
          </cell>
          <cell r="B590" t="str">
            <v>MediaMatch software</v>
          </cell>
          <cell r="C590">
            <v>2700</v>
          </cell>
          <cell r="D590">
            <v>2000</v>
          </cell>
          <cell r="E590">
            <v>2500</v>
          </cell>
          <cell r="F590">
            <v>16200</v>
          </cell>
          <cell r="G590">
            <v>4800</v>
          </cell>
          <cell r="H590">
            <v>1700</v>
          </cell>
          <cell r="I590">
            <v>4800000</v>
          </cell>
          <cell r="J590">
            <v>410000</v>
          </cell>
        </row>
        <row r="591">
          <cell r="A591" t="str">
            <v>0500-01794-31</v>
          </cell>
          <cell r="B591" t="str">
            <v>Media Composer 1000 PCI system - G3 based</v>
          </cell>
          <cell r="C591">
            <v>44688</v>
          </cell>
          <cell r="D591">
            <v>33500</v>
          </cell>
          <cell r="E591">
            <v>40900</v>
          </cell>
          <cell r="F591">
            <v>268600</v>
          </cell>
          <cell r="G591">
            <v>80100</v>
          </cell>
          <cell r="H591">
            <v>28300</v>
          </cell>
          <cell r="I591">
            <v>79300000</v>
          </cell>
          <cell r="J591">
            <v>6810000</v>
          </cell>
        </row>
        <row r="592">
          <cell r="B592" t="str">
            <v>MC1000 12 Month Software Maintenance</v>
          </cell>
          <cell r="C592">
            <v>5400</v>
          </cell>
          <cell r="D592">
            <v>4100</v>
          </cell>
          <cell r="E592">
            <v>4900</v>
          </cell>
          <cell r="F592">
            <v>32500</v>
          </cell>
          <cell r="G592">
            <v>9700</v>
          </cell>
          <cell r="H592">
            <v>3400</v>
          </cell>
          <cell r="I592">
            <v>9600000</v>
          </cell>
          <cell r="J592">
            <v>820000</v>
          </cell>
        </row>
        <row r="593">
          <cell r="B593" t="str">
            <v>MC1000 24 Month Software Maintenance</v>
          </cell>
          <cell r="C593">
            <v>9504</v>
          </cell>
          <cell r="D593">
            <v>7100</v>
          </cell>
          <cell r="E593">
            <v>8700</v>
          </cell>
          <cell r="F593">
            <v>57100</v>
          </cell>
          <cell r="G593">
            <v>17000</v>
          </cell>
          <cell r="H593">
            <v>6000</v>
          </cell>
          <cell r="I593">
            <v>16900000</v>
          </cell>
          <cell r="J593">
            <v>1450000</v>
          </cell>
        </row>
        <row r="594">
          <cell r="B594" t="str">
            <v>MC400 12 Month Software Maintenance</v>
          </cell>
          <cell r="C594">
            <v>3000</v>
          </cell>
          <cell r="D594">
            <v>2300</v>
          </cell>
          <cell r="E594">
            <v>2700</v>
          </cell>
          <cell r="F594">
            <v>18000</v>
          </cell>
          <cell r="G594">
            <v>5400</v>
          </cell>
          <cell r="H594">
            <v>1900</v>
          </cell>
          <cell r="I594">
            <v>5300000</v>
          </cell>
          <cell r="J594">
            <v>460000</v>
          </cell>
        </row>
        <row r="595">
          <cell r="B595" t="str">
            <v>MC400 24 Month Software Maintenance</v>
          </cell>
          <cell r="C595">
            <v>5280</v>
          </cell>
          <cell r="D595">
            <v>4000</v>
          </cell>
          <cell r="E595">
            <v>4800</v>
          </cell>
          <cell r="F595">
            <v>31700</v>
          </cell>
          <cell r="G595">
            <v>9500</v>
          </cell>
          <cell r="H595">
            <v>3300</v>
          </cell>
          <cell r="I595">
            <v>9400000</v>
          </cell>
          <cell r="J595">
            <v>800000</v>
          </cell>
        </row>
        <row r="596">
          <cell r="B596" t="str">
            <v>MC4000 12 Month Software Maintenance</v>
          </cell>
          <cell r="C596">
            <v>6000</v>
          </cell>
          <cell r="D596">
            <v>4500</v>
          </cell>
          <cell r="E596">
            <v>5500</v>
          </cell>
          <cell r="F596">
            <v>36100</v>
          </cell>
          <cell r="G596">
            <v>10800</v>
          </cell>
          <cell r="H596">
            <v>3800</v>
          </cell>
          <cell r="I596">
            <v>10600000</v>
          </cell>
          <cell r="J596">
            <v>910000</v>
          </cell>
        </row>
        <row r="597">
          <cell r="B597" t="str">
            <v>MC4000 24 Month Software Maintenance</v>
          </cell>
          <cell r="C597">
            <v>10560</v>
          </cell>
          <cell r="D597">
            <v>7900</v>
          </cell>
          <cell r="E597">
            <v>9700</v>
          </cell>
          <cell r="F597">
            <v>63500</v>
          </cell>
          <cell r="G597">
            <v>18900</v>
          </cell>
          <cell r="H597">
            <v>6700</v>
          </cell>
          <cell r="I597">
            <v>18700000</v>
          </cell>
          <cell r="J597">
            <v>1610000</v>
          </cell>
        </row>
        <row r="598">
          <cell r="B598" t="str">
            <v>MC800 12 Month Software Maintenance</v>
          </cell>
          <cell r="C598">
            <v>4356</v>
          </cell>
          <cell r="D598">
            <v>3300</v>
          </cell>
          <cell r="E598">
            <v>4000</v>
          </cell>
          <cell r="F598">
            <v>26200</v>
          </cell>
          <cell r="G598">
            <v>7800</v>
          </cell>
          <cell r="H598">
            <v>2800</v>
          </cell>
          <cell r="I598">
            <v>7700000</v>
          </cell>
          <cell r="J598">
            <v>660000</v>
          </cell>
        </row>
        <row r="599">
          <cell r="B599" t="str">
            <v>MC800 24 Month Software Maintenance</v>
          </cell>
          <cell r="C599">
            <v>7667</v>
          </cell>
          <cell r="D599">
            <v>5800</v>
          </cell>
          <cell r="E599">
            <v>7000</v>
          </cell>
          <cell r="F599">
            <v>46100</v>
          </cell>
          <cell r="G599">
            <v>13700</v>
          </cell>
          <cell r="H599">
            <v>4900</v>
          </cell>
          <cell r="I599">
            <v>13600000</v>
          </cell>
          <cell r="J599">
            <v>1170000</v>
          </cell>
        </row>
        <row r="600">
          <cell r="B600" t="str">
            <v>MC8000 12 Month Software Maintenance</v>
          </cell>
          <cell r="C600">
            <v>7248</v>
          </cell>
          <cell r="D600">
            <v>5400</v>
          </cell>
          <cell r="E600">
            <v>6600</v>
          </cell>
          <cell r="F600">
            <v>43600</v>
          </cell>
          <cell r="G600">
            <v>13000</v>
          </cell>
          <cell r="H600">
            <v>4600</v>
          </cell>
          <cell r="I600">
            <v>12900000</v>
          </cell>
          <cell r="J600">
            <v>1100000</v>
          </cell>
        </row>
        <row r="601">
          <cell r="B601" t="str">
            <v>MC8000 24 Month Software Maintenance</v>
          </cell>
          <cell r="C601">
            <v>12756</v>
          </cell>
          <cell r="D601">
            <v>9600</v>
          </cell>
          <cell r="E601">
            <v>11700</v>
          </cell>
          <cell r="F601">
            <v>76700</v>
          </cell>
          <cell r="G601">
            <v>22900</v>
          </cell>
          <cell r="H601">
            <v>8100</v>
          </cell>
          <cell r="I601">
            <v>22600000</v>
          </cell>
          <cell r="J601">
            <v>1940000</v>
          </cell>
        </row>
        <row r="602">
          <cell r="B602" t="str">
            <v>MC900 12 Month Software Maintenance</v>
          </cell>
          <cell r="C602">
            <v>3696</v>
          </cell>
          <cell r="D602">
            <v>2800</v>
          </cell>
          <cell r="E602">
            <v>3400</v>
          </cell>
          <cell r="F602">
            <v>22200</v>
          </cell>
          <cell r="G602">
            <v>6600</v>
          </cell>
          <cell r="H602">
            <v>2300</v>
          </cell>
          <cell r="I602">
            <v>6600000</v>
          </cell>
          <cell r="J602">
            <v>560000</v>
          </cell>
        </row>
        <row r="603">
          <cell r="B603" t="str">
            <v>MC900 24 Month Software Maintenance</v>
          </cell>
          <cell r="C603">
            <v>6505</v>
          </cell>
          <cell r="D603">
            <v>4900</v>
          </cell>
          <cell r="E603">
            <v>6000</v>
          </cell>
          <cell r="F603">
            <v>39100</v>
          </cell>
          <cell r="G603">
            <v>11700</v>
          </cell>
          <cell r="H603">
            <v>4100</v>
          </cell>
          <cell r="I603">
            <v>11500000</v>
          </cell>
          <cell r="J603">
            <v>990000</v>
          </cell>
        </row>
        <row r="604">
          <cell r="A604" t="str">
            <v>0500-01840-31</v>
          </cell>
          <cell r="B604" t="str">
            <v>Media Composer 9000 PCI system - G3 based</v>
          </cell>
          <cell r="C604">
            <v>78995</v>
          </cell>
          <cell r="D604">
            <v>59200</v>
          </cell>
          <cell r="E604">
            <v>72400</v>
          </cell>
          <cell r="F604">
            <v>474800</v>
          </cell>
          <cell r="G604">
            <v>141600</v>
          </cell>
          <cell r="H604">
            <v>50100</v>
          </cell>
          <cell r="I604">
            <v>140100000</v>
          </cell>
          <cell r="J604">
            <v>12040000</v>
          </cell>
        </row>
        <row r="605">
          <cell r="B605" t="str">
            <v>Break out Box (Yamaha)</v>
          </cell>
          <cell r="C605">
            <v>318</v>
          </cell>
          <cell r="D605">
            <v>240</v>
          </cell>
          <cell r="E605">
            <v>290</v>
          </cell>
          <cell r="F605">
            <v>1910</v>
          </cell>
          <cell r="G605">
            <v>570</v>
          </cell>
          <cell r="H605">
            <v>200</v>
          </cell>
          <cell r="I605">
            <v>564000</v>
          </cell>
          <cell r="J605">
            <v>48500</v>
          </cell>
        </row>
        <row r="606">
          <cell r="A606" t="str">
            <v>0500-01792-35</v>
          </cell>
          <cell r="B606" t="str">
            <v>Media Composer Offline boards &amp; software kit  + PCI Extender</v>
          </cell>
          <cell r="C606">
            <v>20737</v>
          </cell>
          <cell r="D606">
            <v>15600</v>
          </cell>
          <cell r="E606">
            <v>19000</v>
          </cell>
          <cell r="F606">
            <v>124600</v>
          </cell>
          <cell r="G606">
            <v>37200</v>
          </cell>
          <cell r="H606">
            <v>13100</v>
          </cell>
          <cell r="I606">
            <v>36800000</v>
          </cell>
          <cell r="J606">
            <v>3160000</v>
          </cell>
        </row>
        <row r="607">
          <cell r="A607" t="str">
            <v>0500-01792-31</v>
          </cell>
          <cell r="B607" t="str">
            <v>Media Composer Offline PCI System - G3 based</v>
          </cell>
          <cell r="C607">
            <v>29225</v>
          </cell>
          <cell r="D607">
            <v>21900</v>
          </cell>
          <cell r="E607">
            <v>26800</v>
          </cell>
          <cell r="F607">
            <v>175600</v>
          </cell>
          <cell r="G607">
            <v>52400</v>
          </cell>
          <cell r="H607">
            <v>18500</v>
          </cell>
          <cell r="I607">
            <v>51800000</v>
          </cell>
          <cell r="J607">
            <v>4460000</v>
          </cell>
        </row>
        <row r="608">
          <cell r="B608" t="str">
            <v>MC Offline 12 Month Software Maintenance</v>
          </cell>
          <cell r="C608">
            <v>3600</v>
          </cell>
          <cell r="D608">
            <v>2700</v>
          </cell>
          <cell r="E608">
            <v>3300</v>
          </cell>
          <cell r="F608">
            <v>21600</v>
          </cell>
          <cell r="G608">
            <v>6500</v>
          </cell>
          <cell r="H608">
            <v>2300</v>
          </cell>
          <cell r="I608">
            <v>6400000</v>
          </cell>
          <cell r="J608">
            <v>550000</v>
          </cell>
        </row>
        <row r="609">
          <cell r="B609" t="str">
            <v>MC Offline 24 Month Software Maintenance</v>
          </cell>
          <cell r="C609">
            <v>6336</v>
          </cell>
          <cell r="D609">
            <v>4800</v>
          </cell>
          <cell r="E609">
            <v>5800</v>
          </cell>
          <cell r="F609">
            <v>38100</v>
          </cell>
          <cell r="G609">
            <v>11400</v>
          </cell>
          <cell r="H609">
            <v>4000</v>
          </cell>
          <cell r="I609">
            <v>11200000</v>
          </cell>
          <cell r="J609">
            <v>970000</v>
          </cell>
        </row>
        <row r="610">
          <cell r="B610" t="str">
            <v>MCXpress for Macintosh 12 Month Software Maintenance</v>
          </cell>
          <cell r="C610">
            <v>1596</v>
          </cell>
          <cell r="D610">
            <v>1200</v>
          </cell>
          <cell r="E610">
            <v>1460</v>
          </cell>
          <cell r="F610">
            <v>9590</v>
          </cell>
          <cell r="G610">
            <v>2860</v>
          </cell>
          <cell r="H610">
            <v>1010</v>
          </cell>
          <cell r="I610">
            <v>2831000</v>
          </cell>
          <cell r="J610">
            <v>243300</v>
          </cell>
        </row>
        <row r="611">
          <cell r="B611" t="str">
            <v>MCXpress for Macintosh 24 Month Software Maintenance</v>
          </cell>
          <cell r="C611">
            <v>2809</v>
          </cell>
          <cell r="D611">
            <v>2100</v>
          </cell>
          <cell r="E611">
            <v>2600</v>
          </cell>
          <cell r="F611">
            <v>16900</v>
          </cell>
          <cell r="G611">
            <v>5000</v>
          </cell>
          <cell r="H611">
            <v>1800</v>
          </cell>
          <cell r="I611">
            <v>5000000</v>
          </cell>
          <cell r="J611">
            <v>430000</v>
          </cell>
        </row>
        <row r="612">
          <cell r="B612" t="str">
            <v>MCXpress Macintosh Open Me First</v>
          </cell>
          <cell r="C612">
            <v>200</v>
          </cell>
          <cell r="D612">
            <v>150</v>
          </cell>
          <cell r="E612">
            <v>180</v>
          </cell>
          <cell r="F612">
            <v>1200</v>
          </cell>
          <cell r="G612">
            <v>360</v>
          </cell>
          <cell r="H612">
            <v>130</v>
          </cell>
          <cell r="I612">
            <v>355000</v>
          </cell>
          <cell r="J612">
            <v>30500</v>
          </cell>
        </row>
        <row r="613">
          <cell r="B613" t="str">
            <v>MCX Promo Kit (marketing material for MCX dealers)</v>
          </cell>
          <cell r="C613">
            <v>50</v>
          </cell>
          <cell r="D613">
            <v>40</v>
          </cell>
          <cell r="E613">
            <v>50</v>
          </cell>
          <cell r="F613">
            <v>300</v>
          </cell>
          <cell r="G613">
            <v>90</v>
          </cell>
          <cell r="H613">
            <v>30</v>
          </cell>
          <cell r="I613">
            <v>89000</v>
          </cell>
          <cell r="J613">
            <v>7600</v>
          </cell>
        </row>
        <row r="614">
          <cell r="A614" t="str">
            <v>0510-00423-01</v>
          </cell>
          <cell r="B614" t="str">
            <v>Upgrade from MCXpressMac 3d system to Xpress Deluxe Bundle</v>
          </cell>
          <cell r="C614">
            <v>2500</v>
          </cell>
          <cell r="D614">
            <v>1900</v>
          </cell>
          <cell r="E614">
            <v>2300</v>
          </cell>
          <cell r="F614">
            <v>15000</v>
          </cell>
          <cell r="G614">
            <v>4500</v>
          </cell>
          <cell r="H614">
            <v>1600</v>
          </cell>
          <cell r="I614">
            <v>4400000</v>
          </cell>
          <cell r="J614">
            <v>380000</v>
          </cell>
        </row>
        <row r="615">
          <cell r="A615" t="str">
            <v>0510-00420-01</v>
          </cell>
          <cell r="B615" t="str">
            <v>Upgrade from MCXpressMac Base system to Xpress standard</v>
          </cell>
          <cell r="C615">
            <v>1250</v>
          </cell>
          <cell r="D615">
            <v>900</v>
          </cell>
          <cell r="E615">
            <v>1100</v>
          </cell>
          <cell r="F615">
            <v>7500</v>
          </cell>
          <cell r="G615">
            <v>2200</v>
          </cell>
          <cell r="H615">
            <v>800</v>
          </cell>
          <cell r="I615">
            <v>2200000</v>
          </cell>
          <cell r="J615">
            <v>190000</v>
          </cell>
        </row>
        <row r="616">
          <cell r="B616" t="str">
            <v>MCXpress for Macintosh Documentation</v>
          </cell>
          <cell r="C616">
            <v>255</v>
          </cell>
          <cell r="D616">
            <v>190</v>
          </cell>
          <cell r="E616">
            <v>230</v>
          </cell>
          <cell r="F616">
            <v>1530</v>
          </cell>
          <cell r="G616">
            <v>460</v>
          </cell>
          <cell r="H616">
            <v>160</v>
          </cell>
          <cell r="I616">
            <v>452000</v>
          </cell>
          <cell r="J616">
            <v>38900</v>
          </cell>
        </row>
        <row r="617">
          <cell r="A617" t="str">
            <v>0510-00421-01</v>
          </cell>
          <cell r="B617" t="str">
            <v>Upgrade from MCXpressMac Pro system to Xpress Plus Bundle</v>
          </cell>
          <cell r="C617">
            <v>1500</v>
          </cell>
          <cell r="D617">
            <v>1130</v>
          </cell>
          <cell r="E617">
            <v>1370</v>
          </cell>
          <cell r="F617">
            <v>9020</v>
          </cell>
          <cell r="G617">
            <v>2690</v>
          </cell>
          <cell r="H617">
            <v>950</v>
          </cell>
          <cell r="I617">
            <v>2661000</v>
          </cell>
          <cell r="J617">
            <v>228700</v>
          </cell>
        </row>
        <row r="618">
          <cell r="A618" t="str">
            <v>0510-00422-01</v>
          </cell>
          <cell r="B618" t="str">
            <v>Upgrade from MCXpressMac RT system to Xpress Elite Bundle</v>
          </cell>
          <cell r="C618">
            <v>1875</v>
          </cell>
          <cell r="D618">
            <v>1410</v>
          </cell>
          <cell r="E618">
            <v>1720</v>
          </cell>
          <cell r="F618">
            <v>11270</v>
          </cell>
          <cell r="G618">
            <v>3360</v>
          </cell>
          <cell r="H618">
            <v>1190</v>
          </cell>
          <cell r="I618">
            <v>3326000</v>
          </cell>
          <cell r="J618">
            <v>285800</v>
          </cell>
        </row>
        <row r="619">
          <cell r="B619" t="str">
            <v>MCXpress for Macintosh 12 Month Software Maintenance</v>
          </cell>
          <cell r="C619">
            <v>1596</v>
          </cell>
          <cell r="D619">
            <v>1200</v>
          </cell>
          <cell r="E619">
            <v>1460</v>
          </cell>
          <cell r="F619">
            <v>9590</v>
          </cell>
          <cell r="G619">
            <v>2860</v>
          </cell>
          <cell r="H619">
            <v>1010</v>
          </cell>
          <cell r="I619">
            <v>2831000</v>
          </cell>
          <cell r="J619">
            <v>243300</v>
          </cell>
        </row>
        <row r="620">
          <cell r="B620" t="str">
            <v>MCXpress for Macintosh 24 Month Software Maintenance</v>
          </cell>
          <cell r="C620">
            <v>2809</v>
          </cell>
          <cell r="D620">
            <v>2100</v>
          </cell>
          <cell r="E620">
            <v>2600</v>
          </cell>
          <cell r="F620">
            <v>16900</v>
          </cell>
          <cell r="G620">
            <v>5000</v>
          </cell>
          <cell r="H620">
            <v>1800</v>
          </cell>
          <cell r="I620">
            <v>5000000</v>
          </cell>
          <cell r="J620">
            <v>430000</v>
          </cell>
        </row>
        <row r="621">
          <cell r="A621" t="str">
            <v>0130-04178-01</v>
          </cell>
          <cell r="B621" t="str">
            <v>English Manuals for MCXpress WindowsNT</v>
          </cell>
          <cell r="C621">
            <v>250</v>
          </cell>
          <cell r="D621">
            <v>190</v>
          </cell>
          <cell r="E621">
            <v>230</v>
          </cell>
          <cell r="F621">
            <v>1500</v>
          </cell>
          <cell r="G621">
            <v>450</v>
          </cell>
          <cell r="H621">
            <v>160</v>
          </cell>
          <cell r="I621">
            <v>444000</v>
          </cell>
          <cell r="J621">
            <v>38100</v>
          </cell>
        </row>
        <row r="622">
          <cell r="A622" t="str">
            <v>0130-04179-01</v>
          </cell>
          <cell r="B622" t="str">
            <v>French Manuals for MCXpress WindowsNT</v>
          </cell>
          <cell r="C622">
            <v>250</v>
          </cell>
          <cell r="D622">
            <v>190</v>
          </cell>
          <cell r="E622">
            <v>230</v>
          </cell>
          <cell r="F622">
            <v>1500</v>
          </cell>
          <cell r="G622">
            <v>450</v>
          </cell>
          <cell r="H622">
            <v>160</v>
          </cell>
          <cell r="I622">
            <v>444000</v>
          </cell>
          <cell r="J622">
            <v>38100</v>
          </cell>
        </row>
        <row r="623">
          <cell r="A623" t="str">
            <v>0130-04182-01</v>
          </cell>
          <cell r="B623" t="str">
            <v>German Manuals for MCXpress WindowsNT</v>
          </cell>
          <cell r="C623">
            <v>250</v>
          </cell>
          <cell r="D623">
            <v>190</v>
          </cell>
          <cell r="E623">
            <v>230</v>
          </cell>
          <cell r="F623">
            <v>1500</v>
          </cell>
          <cell r="G623">
            <v>450</v>
          </cell>
          <cell r="H623">
            <v>160</v>
          </cell>
          <cell r="I623">
            <v>444000</v>
          </cell>
          <cell r="J623">
            <v>38100</v>
          </cell>
        </row>
        <row r="624">
          <cell r="A624" t="str">
            <v>0130-04180-01</v>
          </cell>
          <cell r="B624" t="str">
            <v>Italian Manuals for MCXpress WindowsNT</v>
          </cell>
          <cell r="C624">
            <v>250</v>
          </cell>
          <cell r="D624">
            <v>190</v>
          </cell>
          <cell r="E624">
            <v>230</v>
          </cell>
          <cell r="F624">
            <v>1500</v>
          </cell>
          <cell r="G624">
            <v>450</v>
          </cell>
          <cell r="H624">
            <v>160</v>
          </cell>
          <cell r="I624">
            <v>444000</v>
          </cell>
          <cell r="J624">
            <v>38100</v>
          </cell>
        </row>
        <row r="625">
          <cell r="A625" t="str">
            <v>0130-04181-01</v>
          </cell>
          <cell r="B625" t="str">
            <v>Spanish Manuals for MCXpress WindowsNT</v>
          </cell>
          <cell r="C625">
            <v>250</v>
          </cell>
          <cell r="D625">
            <v>190</v>
          </cell>
          <cell r="E625">
            <v>230</v>
          </cell>
          <cell r="F625">
            <v>1500</v>
          </cell>
          <cell r="G625">
            <v>450</v>
          </cell>
          <cell r="H625">
            <v>160</v>
          </cell>
          <cell r="I625">
            <v>444000</v>
          </cell>
          <cell r="J625">
            <v>38100</v>
          </cell>
        </row>
        <row r="626">
          <cell r="A626" t="str">
            <v>0500-01848-21</v>
          </cell>
          <cell r="B626" t="str">
            <v>MCXpress for Windows NT V1.6 software, MCXEDL &amp; Doc</v>
          </cell>
          <cell r="C626">
            <v>2495</v>
          </cell>
          <cell r="D626">
            <v>1900</v>
          </cell>
          <cell r="E626">
            <v>2300</v>
          </cell>
          <cell r="F626">
            <v>15000</v>
          </cell>
          <cell r="G626">
            <v>4500</v>
          </cell>
          <cell r="H626">
            <v>1600</v>
          </cell>
          <cell r="I626">
            <v>4400000</v>
          </cell>
          <cell r="J626">
            <v>380000</v>
          </cell>
        </row>
        <row r="627">
          <cell r="A627" t="str">
            <v>0500-01736-22</v>
          </cell>
          <cell r="B627" t="str">
            <v>MCXpress for Windows NT V1.6 software &amp; Doc NFR, Boris NFR (until end of stock) and RT Updater</v>
          </cell>
          <cell r="C627">
            <v>900</v>
          </cell>
          <cell r="D627">
            <v>680</v>
          </cell>
          <cell r="E627">
            <v>820</v>
          </cell>
          <cell r="F627">
            <v>5410</v>
          </cell>
          <cell r="G627">
            <v>1610</v>
          </cell>
          <cell r="H627">
            <v>570</v>
          </cell>
          <cell r="I627">
            <v>1597000</v>
          </cell>
          <cell r="J627">
            <v>137200</v>
          </cell>
        </row>
        <row r="628">
          <cell r="A628" t="str">
            <v>0510-03093-01</v>
          </cell>
          <cell r="B628" t="str">
            <v>MCXpress for Windows NT 1.6 NFR upgrade</v>
          </cell>
          <cell r="C628">
            <v>100</v>
          </cell>
          <cell r="D628">
            <v>80</v>
          </cell>
          <cell r="E628">
            <v>90</v>
          </cell>
          <cell r="F628">
            <v>600</v>
          </cell>
          <cell r="G628">
            <v>180</v>
          </cell>
          <cell r="H628">
            <v>60</v>
          </cell>
          <cell r="I628">
            <v>177000</v>
          </cell>
          <cell r="J628">
            <v>15200</v>
          </cell>
        </row>
        <row r="629">
          <cell r="A629" t="str">
            <v>0500-01736-02</v>
          </cell>
          <cell r="B629" t="str">
            <v>MCXpress for Windows NT 1.6 upgrade</v>
          </cell>
          <cell r="C629">
            <v>199</v>
          </cell>
          <cell r="D629">
            <v>150</v>
          </cell>
          <cell r="E629">
            <v>180</v>
          </cell>
          <cell r="F629">
            <v>1200</v>
          </cell>
          <cell r="G629">
            <v>360</v>
          </cell>
          <cell r="H629">
            <v>130</v>
          </cell>
          <cell r="I629">
            <v>353000</v>
          </cell>
          <cell r="J629">
            <v>30300</v>
          </cell>
        </row>
        <row r="630">
          <cell r="A630" t="str">
            <v>0500-01803-01</v>
          </cell>
          <cell r="B630" t="str">
            <v xml:space="preserve">Real time effects option  MCXpress for Windows NT  </v>
          </cell>
          <cell r="C630">
            <v>2500</v>
          </cell>
          <cell r="D630">
            <v>1900</v>
          </cell>
          <cell r="E630">
            <v>2300</v>
          </cell>
          <cell r="F630">
            <v>15000</v>
          </cell>
          <cell r="G630">
            <v>4500</v>
          </cell>
          <cell r="H630">
            <v>1600</v>
          </cell>
          <cell r="I630">
            <v>4400000</v>
          </cell>
          <cell r="J630">
            <v>380000</v>
          </cell>
        </row>
        <row r="631">
          <cell r="A631" t="str">
            <v>0020-00487-01</v>
          </cell>
          <cell r="B631" t="str">
            <v>iS18 Plus MediaDock Shuttle</v>
          </cell>
          <cell r="C631">
            <v>2020</v>
          </cell>
          <cell r="D631">
            <v>1500</v>
          </cell>
          <cell r="E631">
            <v>1900</v>
          </cell>
          <cell r="F631">
            <v>12100</v>
          </cell>
          <cell r="G631">
            <v>3600</v>
          </cell>
          <cell r="H631">
            <v>1300</v>
          </cell>
          <cell r="I631">
            <v>3600000</v>
          </cell>
          <cell r="J631">
            <v>310000</v>
          </cell>
        </row>
        <row r="632">
          <cell r="A632" t="str">
            <v>0020-00486-01</v>
          </cell>
          <cell r="B632" t="str">
            <v>iS9 Plus MediaDock Shuttle</v>
          </cell>
          <cell r="C632">
            <v>1260</v>
          </cell>
          <cell r="D632">
            <v>900</v>
          </cell>
          <cell r="E632">
            <v>1200</v>
          </cell>
          <cell r="F632">
            <v>7600</v>
          </cell>
          <cell r="G632">
            <v>2300</v>
          </cell>
          <cell r="H632">
            <v>800</v>
          </cell>
          <cell r="I632">
            <v>2200000</v>
          </cell>
          <cell r="J632">
            <v>190000</v>
          </cell>
        </row>
        <row r="633">
          <cell r="B633" t="str">
            <v>MediaDock 18GB iS Pro Drive, 3.5", IBM for G&amp;E only</v>
          </cell>
          <cell r="C633">
            <v>2145</v>
          </cell>
          <cell r="D633">
            <v>1600</v>
          </cell>
          <cell r="E633">
            <v>2000</v>
          </cell>
          <cell r="F633">
            <v>12900</v>
          </cell>
          <cell r="G633">
            <v>3800</v>
          </cell>
          <cell r="H633">
            <v>1400</v>
          </cell>
          <cell r="I633">
            <v>3800000</v>
          </cell>
          <cell r="J633">
            <v>330000</v>
          </cell>
        </row>
        <row r="634">
          <cell r="A634" t="str">
            <v>0020-00471-01</v>
          </cell>
          <cell r="B634" t="str">
            <v>MediaDock 18GB iS Pro Drive, 3.5"</v>
          </cell>
          <cell r="C634">
            <v>1653</v>
          </cell>
          <cell r="D634">
            <v>1200</v>
          </cell>
          <cell r="E634">
            <v>1500</v>
          </cell>
          <cell r="F634">
            <v>9900</v>
          </cell>
          <cell r="G634">
            <v>3000</v>
          </cell>
          <cell r="H634">
            <v>1000</v>
          </cell>
          <cell r="I634">
            <v>2900000</v>
          </cell>
          <cell r="J634">
            <v>250000</v>
          </cell>
        </row>
        <row r="635">
          <cell r="B635" t="str">
            <v>MediaDock 9GB iS Pro Drive, 3.5", IBM for G&amp;E only</v>
          </cell>
          <cell r="C635">
            <v>2145</v>
          </cell>
          <cell r="D635">
            <v>1600</v>
          </cell>
          <cell r="E635">
            <v>2000</v>
          </cell>
          <cell r="F635">
            <v>12900</v>
          </cell>
          <cell r="G635">
            <v>3800</v>
          </cell>
          <cell r="H635">
            <v>1400</v>
          </cell>
          <cell r="I635">
            <v>3800000</v>
          </cell>
          <cell r="J635">
            <v>330000</v>
          </cell>
        </row>
        <row r="636">
          <cell r="A636" t="str">
            <v>0020-00470-01</v>
          </cell>
          <cell r="B636" t="str">
            <v>MediaDock 9GB iS Pro Drive, 3.5"</v>
          </cell>
          <cell r="C636">
            <v>1053</v>
          </cell>
          <cell r="D636">
            <v>800</v>
          </cell>
          <cell r="E636">
            <v>1000</v>
          </cell>
          <cell r="F636">
            <v>6300</v>
          </cell>
          <cell r="G636">
            <v>1900</v>
          </cell>
          <cell r="H636">
            <v>700</v>
          </cell>
          <cell r="I636">
            <v>1900000</v>
          </cell>
          <cell r="J636">
            <v>160000</v>
          </cell>
        </row>
        <row r="637">
          <cell r="A637" t="str">
            <v>0010-00656-01</v>
          </cell>
          <cell r="B637" t="str">
            <v>iS MediaDock Termination Kit</v>
          </cell>
          <cell r="C637">
            <v>265</v>
          </cell>
          <cell r="D637">
            <v>200</v>
          </cell>
          <cell r="E637">
            <v>200</v>
          </cell>
          <cell r="F637">
            <v>1600</v>
          </cell>
          <cell r="G637">
            <v>500</v>
          </cell>
          <cell r="H637">
            <v>200</v>
          </cell>
          <cell r="I637">
            <v>500000</v>
          </cell>
          <cell r="J637">
            <v>40000</v>
          </cell>
        </row>
        <row r="638">
          <cell r="A638" t="str">
            <v>0170-00079-01</v>
          </cell>
          <cell r="B638" t="str">
            <v>MediaDock Carrying Case (1x5.25")</v>
          </cell>
          <cell r="C638">
            <v>327</v>
          </cell>
          <cell r="D638">
            <v>280</v>
          </cell>
          <cell r="E638">
            <v>340</v>
          </cell>
          <cell r="F638">
            <v>2250</v>
          </cell>
          <cell r="G638">
            <v>670</v>
          </cell>
          <cell r="H638">
            <v>240</v>
          </cell>
          <cell r="I638">
            <v>665000</v>
          </cell>
          <cell r="J638">
            <v>57200</v>
          </cell>
        </row>
        <row r="639">
          <cell r="A639" t="str">
            <v>0050-00272-02</v>
          </cell>
          <cell r="B639" t="str">
            <v>MediaDock Chassis (Broadcast)</v>
          </cell>
          <cell r="C639">
            <v>2993</v>
          </cell>
          <cell r="D639">
            <v>2200</v>
          </cell>
          <cell r="E639">
            <v>2700</v>
          </cell>
          <cell r="F639">
            <v>18000</v>
          </cell>
          <cell r="G639">
            <v>5400</v>
          </cell>
          <cell r="H639">
            <v>1900</v>
          </cell>
          <cell r="I639">
            <v>5300000</v>
          </cell>
          <cell r="J639">
            <v>460000</v>
          </cell>
        </row>
        <row r="640">
          <cell r="A640" t="str">
            <v>0050-00187-02</v>
          </cell>
          <cell r="B640" t="str">
            <v>MediaDock Chassis (Rack)</v>
          </cell>
          <cell r="C640">
            <v>2593</v>
          </cell>
          <cell r="D640">
            <v>1900</v>
          </cell>
          <cell r="E640">
            <v>2400</v>
          </cell>
          <cell r="F640">
            <v>15600</v>
          </cell>
          <cell r="G640">
            <v>4600</v>
          </cell>
          <cell r="H640">
            <v>1600</v>
          </cell>
          <cell r="I640">
            <v>4600000</v>
          </cell>
          <cell r="J640">
            <v>400000</v>
          </cell>
        </row>
        <row r="641">
          <cell r="A641" t="str">
            <v>0050-00189-02</v>
          </cell>
          <cell r="B641" t="str">
            <v>MediaDock  Chassis (Tower)</v>
          </cell>
          <cell r="C641">
            <v>2433</v>
          </cell>
          <cell r="D641">
            <v>1800</v>
          </cell>
          <cell r="E641">
            <v>2200</v>
          </cell>
          <cell r="F641">
            <v>14600</v>
          </cell>
          <cell r="G641">
            <v>4400</v>
          </cell>
          <cell r="H641">
            <v>1500</v>
          </cell>
          <cell r="I641">
            <v>4300000</v>
          </cell>
          <cell r="J641">
            <v>370000</v>
          </cell>
        </row>
        <row r="642">
          <cell r="A642" t="str">
            <v>0010-00717-01</v>
          </cell>
          <cell r="B642" t="str">
            <v>Avid DLT Drive, 35GB for MediaDock</v>
          </cell>
          <cell r="C642">
            <v>8507</v>
          </cell>
          <cell r="D642">
            <v>6400</v>
          </cell>
          <cell r="E642">
            <v>7800</v>
          </cell>
          <cell r="F642">
            <v>51100</v>
          </cell>
          <cell r="G642">
            <v>15200</v>
          </cell>
          <cell r="H642">
            <v>5400</v>
          </cell>
          <cell r="I642">
            <v>15100000</v>
          </cell>
          <cell r="J642">
            <v>1300000</v>
          </cell>
        </row>
        <row r="643">
          <cell r="B643" t="str">
            <v>MediaDock 23GB Drive, 3.5"</v>
          </cell>
          <cell r="C643">
            <v>4608</v>
          </cell>
          <cell r="D643">
            <v>3500</v>
          </cell>
          <cell r="E643">
            <v>4200</v>
          </cell>
          <cell r="F643">
            <v>27700</v>
          </cell>
          <cell r="G643">
            <v>8300</v>
          </cell>
          <cell r="H643">
            <v>2900</v>
          </cell>
          <cell r="I643">
            <v>8200000</v>
          </cell>
          <cell r="J643">
            <v>700000</v>
          </cell>
        </row>
        <row r="644">
          <cell r="B644" t="str">
            <v>MediaDock 9GB Drive, 3.5"</v>
          </cell>
          <cell r="C644">
            <v>2454</v>
          </cell>
          <cell r="D644">
            <v>1800</v>
          </cell>
          <cell r="E644">
            <v>2200</v>
          </cell>
          <cell r="F644">
            <v>14700</v>
          </cell>
          <cell r="G644">
            <v>4400</v>
          </cell>
          <cell r="H644">
            <v>1600</v>
          </cell>
          <cell r="I644">
            <v>4400000</v>
          </cell>
          <cell r="J644">
            <v>370000</v>
          </cell>
        </row>
        <row r="645">
          <cell r="A645" t="str">
            <v>0840-00021-01</v>
          </cell>
          <cell r="B645" t="str">
            <v>MediaDock Power Supply, with Power Cord</v>
          </cell>
          <cell r="C645">
            <v>507</v>
          </cell>
          <cell r="D645">
            <v>400</v>
          </cell>
          <cell r="E645">
            <v>400</v>
          </cell>
          <cell r="F645">
            <v>2900</v>
          </cell>
          <cell r="G645">
            <v>800</v>
          </cell>
          <cell r="H645">
            <v>300</v>
          </cell>
          <cell r="I645">
            <v>800000</v>
          </cell>
          <cell r="J645">
            <v>70000</v>
          </cell>
        </row>
        <row r="646">
          <cell r="A646" t="str">
            <v>0080-00074-01</v>
          </cell>
          <cell r="B646" t="str">
            <v>Avid Media Reader</v>
          </cell>
          <cell r="C646">
            <v>3900</v>
          </cell>
          <cell r="D646">
            <v>2900</v>
          </cell>
          <cell r="E646">
            <v>3600</v>
          </cell>
          <cell r="F646">
            <v>23400</v>
          </cell>
          <cell r="G646">
            <v>7000</v>
          </cell>
          <cell r="H646">
            <v>2500</v>
          </cell>
          <cell r="I646">
            <v>6900000</v>
          </cell>
          <cell r="J646">
            <v>590000</v>
          </cell>
        </row>
        <row r="647">
          <cell r="B647" t="str">
            <v>Mediashare (Incl. s/w &amp; D-SCSI Cables)</v>
          </cell>
          <cell r="C647">
            <v>18995</v>
          </cell>
          <cell r="D647">
            <v>14200</v>
          </cell>
          <cell r="E647">
            <v>17400</v>
          </cell>
          <cell r="F647">
            <v>114200</v>
          </cell>
          <cell r="G647">
            <v>34000</v>
          </cell>
          <cell r="H647">
            <v>12000</v>
          </cell>
          <cell r="I647">
            <v>33700000</v>
          </cell>
          <cell r="J647">
            <v>2900000</v>
          </cell>
        </row>
        <row r="648">
          <cell r="B648" t="str">
            <v>Megadrive RAID 3 (Rack Mountable) incl. 6 x 9Gb Drives</v>
          </cell>
          <cell r="C648">
            <v>43500</v>
          </cell>
          <cell r="D648">
            <v>32600</v>
          </cell>
          <cell r="E648">
            <v>39900</v>
          </cell>
          <cell r="F648">
            <v>261400</v>
          </cell>
          <cell r="G648">
            <v>78000</v>
          </cell>
          <cell r="H648">
            <v>27600</v>
          </cell>
          <cell r="I648">
            <v>77200000</v>
          </cell>
          <cell r="J648">
            <v>6630000</v>
          </cell>
        </row>
        <row r="649">
          <cell r="B649" t="str">
            <v>4Mb RAM Simm for Avid Media Processor</v>
          </cell>
          <cell r="C649">
            <v>280</v>
          </cell>
          <cell r="D649">
            <v>210</v>
          </cell>
          <cell r="E649">
            <v>260</v>
          </cell>
          <cell r="F649">
            <v>1680</v>
          </cell>
          <cell r="G649">
            <v>500</v>
          </cell>
          <cell r="H649">
            <v>180</v>
          </cell>
          <cell r="I649">
            <v>497000</v>
          </cell>
          <cell r="J649">
            <v>42700</v>
          </cell>
        </row>
        <row r="650">
          <cell r="B650" t="str">
            <v>MIDI Interface Kit (includes Cables)</v>
          </cell>
          <cell r="C650">
            <v>115</v>
          </cell>
          <cell r="D650">
            <v>90</v>
          </cell>
          <cell r="E650">
            <v>110</v>
          </cell>
          <cell r="F650">
            <v>690</v>
          </cell>
          <cell r="G650">
            <v>210</v>
          </cell>
          <cell r="H650">
            <v>70</v>
          </cell>
          <cell r="I650">
            <v>204000</v>
          </cell>
          <cell r="J650">
            <v>17500</v>
          </cell>
        </row>
        <row r="651">
          <cell r="B651" t="str">
            <v>PC MediaLog special converter</v>
          </cell>
          <cell r="C651">
            <v>165</v>
          </cell>
          <cell r="D651">
            <v>120</v>
          </cell>
          <cell r="E651">
            <v>150</v>
          </cell>
          <cell r="F651">
            <v>990</v>
          </cell>
          <cell r="G651">
            <v>300</v>
          </cell>
          <cell r="H651">
            <v>100</v>
          </cell>
          <cell r="I651">
            <v>293000</v>
          </cell>
          <cell r="J651">
            <v>25200</v>
          </cell>
        </row>
        <row r="652">
          <cell r="B652" t="str">
            <v>MicroLynx with AGC-2 Cord (inc Std 9pin cable)</v>
          </cell>
          <cell r="C652">
            <v>4750</v>
          </cell>
          <cell r="D652">
            <v>3600</v>
          </cell>
          <cell r="E652">
            <v>4400</v>
          </cell>
          <cell r="F652">
            <v>28500</v>
          </cell>
          <cell r="G652">
            <v>8500</v>
          </cell>
          <cell r="H652">
            <v>3000</v>
          </cell>
          <cell r="I652">
            <v>8400000</v>
          </cell>
          <cell r="J652">
            <v>720000</v>
          </cell>
        </row>
        <row r="653">
          <cell r="A653" t="str">
            <v>0040-00055-01</v>
          </cell>
          <cell r="B653" t="str">
            <v>21" Hi-res monitor - TFW1105 - Spares replacement</v>
          </cell>
          <cell r="C653">
            <v>2200</v>
          </cell>
          <cell r="D653">
            <v>1700</v>
          </cell>
          <cell r="E653">
            <v>2000</v>
          </cell>
          <cell r="F653">
            <v>13200</v>
          </cell>
          <cell r="G653">
            <v>3900</v>
          </cell>
          <cell r="H653">
            <v>1400</v>
          </cell>
          <cell r="I653">
            <v>3900000</v>
          </cell>
          <cell r="J653">
            <v>340000</v>
          </cell>
        </row>
        <row r="654">
          <cell r="B654" t="str">
            <v>Broadcast MediaRecorder (No Storage &amp; No Speakers)</v>
          </cell>
          <cell r="C654">
            <v>34500</v>
          </cell>
          <cell r="D654">
            <v>25900</v>
          </cell>
          <cell r="E654">
            <v>31600</v>
          </cell>
          <cell r="F654">
            <v>207400</v>
          </cell>
          <cell r="G654">
            <v>61800</v>
          </cell>
          <cell r="H654">
            <v>21900</v>
          </cell>
          <cell r="I654">
            <v>61200000</v>
          </cell>
          <cell r="J654">
            <v>5260000</v>
          </cell>
        </row>
        <row r="655">
          <cell r="A655" t="str">
            <v>0070-00492-04</v>
          </cell>
          <cell r="B655" t="str">
            <v>MSFC Copper Cable, 10m</v>
          </cell>
          <cell r="C655">
            <v>175</v>
          </cell>
          <cell r="D655">
            <v>130</v>
          </cell>
          <cell r="E655">
            <v>150</v>
          </cell>
          <cell r="F655">
            <v>1010</v>
          </cell>
          <cell r="G655">
            <v>300</v>
          </cell>
          <cell r="H655">
            <v>110</v>
          </cell>
          <cell r="I655">
            <v>297000</v>
          </cell>
          <cell r="J655">
            <v>25600</v>
          </cell>
        </row>
        <row r="656">
          <cell r="B656" t="str">
            <v>MSFC Copper Cable, 25m</v>
          </cell>
          <cell r="C656">
            <v>250</v>
          </cell>
          <cell r="D656">
            <v>190</v>
          </cell>
          <cell r="E656">
            <v>230</v>
          </cell>
          <cell r="F656">
            <v>1500</v>
          </cell>
          <cell r="G656">
            <v>450</v>
          </cell>
          <cell r="H656">
            <v>160</v>
          </cell>
          <cell r="I656">
            <v>444000</v>
          </cell>
          <cell r="J656">
            <v>38100</v>
          </cell>
        </row>
        <row r="657">
          <cell r="A657" t="str">
            <v>0070-00492-02</v>
          </cell>
          <cell r="B657" t="str">
            <v>MSFC Copper Cable, 3m</v>
          </cell>
          <cell r="C657">
            <v>95</v>
          </cell>
          <cell r="D657">
            <v>70</v>
          </cell>
          <cell r="E657">
            <v>80</v>
          </cell>
          <cell r="F657">
            <v>550</v>
          </cell>
          <cell r="G657">
            <v>160</v>
          </cell>
          <cell r="H657">
            <v>60</v>
          </cell>
          <cell r="I657">
            <v>161000</v>
          </cell>
          <cell r="J657">
            <v>13900</v>
          </cell>
        </row>
        <row r="658">
          <cell r="A658" t="str">
            <v>0070-00493-04</v>
          </cell>
          <cell r="B658" t="str">
            <v>MSFC Copper Cable, 30m</v>
          </cell>
          <cell r="C658">
            <v>395</v>
          </cell>
          <cell r="D658">
            <v>300</v>
          </cell>
          <cell r="E658">
            <v>400</v>
          </cell>
          <cell r="F658">
            <v>2400</v>
          </cell>
          <cell r="G658">
            <v>700</v>
          </cell>
          <cell r="H658">
            <v>300</v>
          </cell>
          <cell r="I658">
            <v>700000</v>
          </cell>
          <cell r="J658">
            <v>60000</v>
          </cell>
        </row>
        <row r="659">
          <cell r="A659" t="str">
            <v>0010-00770-10</v>
          </cell>
          <cell r="B659" t="str">
            <v>MSFC Client Kit, Board+s/w for MC 6.5.3/Xpress 1.5.3</v>
          </cell>
          <cell r="C659">
            <v>2395</v>
          </cell>
          <cell r="D659">
            <v>1800</v>
          </cell>
          <cell r="E659">
            <v>2200</v>
          </cell>
          <cell r="F659">
            <v>14400</v>
          </cell>
          <cell r="G659">
            <v>4300</v>
          </cell>
          <cell r="H659">
            <v>1500</v>
          </cell>
          <cell r="I659">
            <v>4200000</v>
          </cell>
          <cell r="J659">
            <v>370000</v>
          </cell>
        </row>
        <row r="660">
          <cell r="A660" t="str">
            <v>0010-00877-01</v>
          </cell>
          <cell r="B660" t="str">
            <v>MSFC Client Kit, Board+s/w for MC 7.x/Xpress 2.x</v>
          </cell>
          <cell r="C660">
            <v>2395</v>
          </cell>
          <cell r="D660">
            <v>1800</v>
          </cell>
          <cell r="E660">
            <v>2200</v>
          </cell>
          <cell r="F660">
            <v>14400</v>
          </cell>
          <cell r="G660">
            <v>4300</v>
          </cell>
          <cell r="H660">
            <v>1500</v>
          </cell>
          <cell r="I660">
            <v>4200000</v>
          </cell>
          <cell r="J660">
            <v>370000</v>
          </cell>
        </row>
        <row r="661">
          <cell r="A661" t="str">
            <v>0080-00141-01</v>
          </cell>
          <cell r="B661" t="str">
            <v>MSFC Spare Link Control Card for Clariion</v>
          </cell>
          <cell r="C661">
            <v>891</v>
          </cell>
          <cell r="D661">
            <v>670</v>
          </cell>
          <cell r="E661">
            <v>820</v>
          </cell>
          <cell r="F661">
            <v>5360</v>
          </cell>
          <cell r="G661">
            <v>1600</v>
          </cell>
          <cell r="H661">
            <v>560</v>
          </cell>
          <cell r="I661">
            <v>1581000</v>
          </cell>
          <cell r="J661">
            <v>135800</v>
          </cell>
        </row>
        <row r="662">
          <cell r="A662" t="str">
            <v>0840-00045-01</v>
          </cell>
          <cell r="B662" t="str">
            <v>MSFC Spare Power Supply for Clariion</v>
          </cell>
          <cell r="C662">
            <v>891</v>
          </cell>
          <cell r="D662">
            <v>670</v>
          </cell>
          <cell r="E662">
            <v>820</v>
          </cell>
          <cell r="F662">
            <v>5360</v>
          </cell>
          <cell r="G662">
            <v>1600</v>
          </cell>
          <cell r="H662">
            <v>560</v>
          </cell>
          <cell r="I662">
            <v>1581000</v>
          </cell>
          <cell r="J662">
            <v>135800</v>
          </cell>
        </row>
        <row r="663">
          <cell r="B663" t="str">
            <v>MSFC Reseller Demo kit - Option A</v>
          </cell>
          <cell r="C663">
            <v>30000</v>
          </cell>
          <cell r="D663">
            <v>22500</v>
          </cell>
          <cell r="E663">
            <v>27500</v>
          </cell>
          <cell r="F663">
            <v>180300</v>
          </cell>
          <cell r="G663">
            <v>53800</v>
          </cell>
          <cell r="H663">
            <v>19000</v>
          </cell>
          <cell r="I663">
            <v>53200000</v>
          </cell>
          <cell r="J663">
            <v>4570000</v>
          </cell>
        </row>
        <row r="664">
          <cell r="B664" t="str">
            <v>MSFC Reseller Demo kit - Option B</v>
          </cell>
          <cell r="C664">
            <v>20000</v>
          </cell>
          <cell r="D664">
            <v>15000</v>
          </cell>
          <cell r="E664">
            <v>18300</v>
          </cell>
          <cell r="F664">
            <v>120200</v>
          </cell>
          <cell r="G664">
            <v>35800</v>
          </cell>
          <cell r="H664">
            <v>12700</v>
          </cell>
          <cell r="I664">
            <v>35500000</v>
          </cell>
          <cell r="J664">
            <v>3050000</v>
          </cell>
        </row>
        <row r="665">
          <cell r="B665" t="str">
            <v>MSFC 9GB Disk</v>
          </cell>
          <cell r="C665">
            <v>1995</v>
          </cell>
          <cell r="D665">
            <v>1500</v>
          </cell>
          <cell r="E665">
            <v>1830</v>
          </cell>
          <cell r="F665">
            <v>11990</v>
          </cell>
          <cell r="G665">
            <v>3580</v>
          </cell>
          <cell r="H665">
            <v>1260</v>
          </cell>
          <cell r="I665">
            <v>3539000</v>
          </cell>
          <cell r="J665">
            <v>304100</v>
          </cell>
        </row>
        <row r="666">
          <cell r="A666" t="str">
            <v>0080-00140-01</v>
          </cell>
          <cell r="B666" t="str">
            <v>MSFC 9 Port Active Hub, Gadzoox</v>
          </cell>
          <cell r="C666">
            <v>3777</v>
          </cell>
          <cell r="D666">
            <v>2800</v>
          </cell>
          <cell r="E666">
            <v>3500</v>
          </cell>
          <cell r="F666">
            <v>22700</v>
          </cell>
          <cell r="G666">
            <v>6800</v>
          </cell>
          <cell r="H666">
            <v>2400</v>
          </cell>
          <cell r="I666">
            <v>6700000</v>
          </cell>
          <cell r="J666">
            <v>580000</v>
          </cell>
        </row>
        <row r="667">
          <cell r="A667" t="str">
            <v>0890-00114-01</v>
          </cell>
          <cell r="B667" t="str">
            <v xml:space="preserve">MSFC Hub Rack </v>
          </cell>
          <cell r="C667">
            <v>83</v>
          </cell>
          <cell r="D667">
            <v>60</v>
          </cell>
          <cell r="E667">
            <v>80</v>
          </cell>
          <cell r="F667">
            <v>500</v>
          </cell>
          <cell r="G667">
            <v>150</v>
          </cell>
          <cell r="H667">
            <v>50</v>
          </cell>
          <cell r="I667">
            <v>147000</v>
          </cell>
          <cell r="J667">
            <v>12700</v>
          </cell>
        </row>
        <row r="668">
          <cell r="B668" t="str">
            <v>MSFC Clariion  - Additional 45GB Storage</v>
          </cell>
          <cell r="C668">
            <v>9895</v>
          </cell>
          <cell r="D668">
            <v>7400</v>
          </cell>
          <cell r="E668">
            <v>9100</v>
          </cell>
          <cell r="F668">
            <v>59500</v>
          </cell>
          <cell r="G668">
            <v>17700</v>
          </cell>
          <cell r="H668">
            <v>6300</v>
          </cell>
          <cell r="I668">
            <v>17600000</v>
          </cell>
          <cell r="J668">
            <v>1510000</v>
          </cell>
        </row>
        <row r="669">
          <cell r="B669" t="str">
            <v>MSFC Clariion JBOD Array, Rack 45GB</v>
          </cell>
          <cell r="C669">
            <v>14895</v>
          </cell>
          <cell r="D669">
            <v>11200</v>
          </cell>
          <cell r="E669">
            <v>13600</v>
          </cell>
          <cell r="F669">
            <v>89500</v>
          </cell>
          <cell r="G669">
            <v>26700</v>
          </cell>
          <cell r="H669">
            <v>9400</v>
          </cell>
          <cell r="I669">
            <v>26400000</v>
          </cell>
          <cell r="J669">
            <v>2270000</v>
          </cell>
        </row>
        <row r="670">
          <cell r="B670" t="str">
            <v>MSFC Clariion JBOD Array, Tower 45GB</v>
          </cell>
          <cell r="C670">
            <v>15795</v>
          </cell>
          <cell r="D670">
            <v>11800</v>
          </cell>
          <cell r="E670">
            <v>14500</v>
          </cell>
          <cell r="F670">
            <v>94900</v>
          </cell>
          <cell r="G670">
            <v>28300</v>
          </cell>
          <cell r="H670">
            <v>10000</v>
          </cell>
          <cell r="I670">
            <v>28000000</v>
          </cell>
          <cell r="J670">
            <v>2410000</v>
          </cell>
        </row>
        <row r="671">
          <cell r="A671" t="str">
            <v>0070-00490-01</v>
          </cell>
          <cell r="B671" t="str">
            <v>MSFC Media Interface Adapter, Copper-Fibre Optic</v>
          </cell>
          <cell r="C671">
            <v>595</v>
          </cell>
          <cell r="D671">
            <v>400</v>
          </cell>
          <cell r="E671">
            <v>500</v>
          </cell>
          <cell r="F671">
            <v>3600</v>
          </cell>
          <cell r="G671">
            <v>1100</v>
          </cell>
          <cell r="H671">
            <v>400</v>
          </cell>
          <cell r="I671">
            <v>1100000</v>
          </cell>
          <cell r="J671">
            <v>90000</v>
          </cell>
        </row>
        <row r="672">
          <cell r="A672" t="str">
            <v>0100-00636-01</v>
          </cell>
          <cell r="B672" t="str">
            <v>Media Station Assistant option</v>
          </cell>
          <cell r="C672">
            <v>3500</v>
          </cell>
          <cell r="D672">
            <v>2600</v>
          </cell>
          <cell r="E672">
            <v>3200</v>
          </cell>
          <cell r="F672">
            <v>21000</v>
          </cell>
          <cell r="G672">
            <v>6300</v>
          </cell>
          <cell r="H672">
            <v>2200</v>
          </cell>
          <cell r="I672">
            <v>6200000</v>
          </cell>
          <cell r="J672">
            <v>530000</v>
          </cell>
        </row>
        <row r="673">
          <cell r="B673" t="str">
            <v>Media Station Documentation</v>
          </cell>
          <cell r="C673">
            <v>255</v>
          </cell>
          <cell r="D673">
            <v>190</v>
          </cell>
          <cell r="E673">
            <v>230</v>
          </cell>
          <cell r="F673">
            <v>1530</v>
          </cell>
          <cell r="G673">
            <v>460</v>
          </cell>
          <cell r="H673">
            <v>160</v>
          </cell>
          <cell r="I673">
            <v>452000</v>
          </cell>
          <cell r="J673">
            <v>38900</v>
          </cell>
        </row>
        <row r="674">
          <cell r="A674" t="str">
            <v>0500-01797-31</v>
          </cell>
          <cell r="B674" t="str">
            <v>Media Station System - G3 based</v>
          </cell>
          <cell r="C674">
            <v>26845</v>
          </cell>
          <cell r="D674">
            <v>20100</v>
          </cell>
          <cell r="E674">
            <v>24600</v>
          </cell>
          <cell r="F674">
            <v>161300</v>
          </cell>
          <cell r="G674">
            <v>48100</v>
          </cell>
          <cell r="H674">
            <v>17000</v>
          </cell>
          <cell r="I674">
            <v>47600000</v>
          </cell>
          <cell r="J674">
            <v>4090000</v>
          </cell>
        </row>
        <row r="675">
          <cell r="B675" t="str">
            <v>Media Station 12 Month Software Maintenance</v>
          </cell>
          <cell r="C675">
            <v>3493</v>
          </cell>
          <cell r="D675">
            <v>2600</v>
          </cell>
          <cell r="E675">
            <v>3200</v>
          </cell>
          <cell r="F675">
            <v>21000</v>
          </cell>
          <cell r="G675">
            <v>6300</v>
          </cell>
          <cell r="H675">
            <v>2200</v>
          </cell>
          <cell r="I675">
            <v>6200000</v>
          </cell>
          <cell r="J675">
            <v>530000</v>
          </cell>
        </row>
        <row r="676">
          <cell r="B676" t="str">
            <v>Media Station 24 Month Software Maintenance</v>
          </cell>
          <cell r="C676">
            <v>6148</v>
          </cell>
          <cell r="D676">
            <v>4600</v>
          </cell>
          <cell r="E676">
            <v>5600</v>
          </cell>
          <cell r="F676">
            <v>37000</v>
          </cell>
          <cell r="G676">
            <v>11000</v>
          </cell>
          <cell r="H676">
            <v>3900</v>
          </cell>
          <cell r="I676">
            <v>10900000</v>
          </cell>
          <cell r="J676">
            <v>940000</v>
          </cell>
        </row>
        <row r="677">
          <cell r="A677" t="str">
            <v>0010-00528-01</v>
          </cell>
          <cell r="B677" t="str">
            <v>Media Station Telecine option</v>
          </cell>
          <cell r="C677">
            <v>5500</v>
          </cell>
          <cell r="D677">
            <v>4100</v>
          </cell>
          <cell r="E677">
            <v>5000</v>
          </cell>
          <cell r="F677">
            <v>33100</v>
          </cell>
          <cell r="G677">
            <v>9900</v>
          </cell>
          <cell r="H677">
            <v>3500</v>
          </cell>
          <cell r="I677">
            <v>9800000</v>
          </cell>
          <cell r="J677">
            <v>840000</v>
          </cell>
        </row>
        <row r="678">
          <cell r="B678" t="str">
            <v>NewsCutter SW only kit (as add on to AirPlay)</v>
          </cell>
          <cell r="C678">
            <v>21500</v>
          </cell>
          <cell r="D678">
            <v>16100</v>
          </cell>
          <cell r="E678">
            <v>19700</v>
          </cell>
          <cell r="F678">
            <v>129200</v>
          </cell>
          <cell r="G678">
            <v>38500</v>
          </cell>
          <cell r="H678">
            <v>13600</v>
          </cell>
          <cell r="I678">
            <v>38100000</v>
          </cell>
          <cell r="J678">
            <v>3280000</v>
          </cell>
        </row>
        <row r="679">
          <cell r="B679" t="str">
            <v>NewsCutter/Airplay Combo (No Storage)</v>
          </cell>
          <cell r="C679">
            <v>80545</v>
          </cell>
          <cell r="D679">
            <v>60400</v>
          </cell>
          <cell r="E679">
            <v>73800</v>
          </cell>
          <cell r="F679">
            <v>484100</v>
          </cell>
          <cell r="G679">
            <v>144300</v>
          </cell>
          <cell r="H679">
            <v>51000</v>
          </cell>
          <cell r="I679">
            <v>142900000</v>
          </cell>
          <cell r="J679">
            <v>12280000</v>
          </cell>
        </row>
        <row r="680">
          <cell r="B680" t="str">
            <v>NewsCutter DV Install (1 day, travel not included)</v>
          </cell>
          <cell r="D680">
            <v>0</v>
          </cell>
          <cell r="E680">
            <v>0</v>
          </cell>
          <cell r="F680">
            <v>0</v>
          </cell>
          <cell r="G680">
            <v>0</v>
          </cell>
          <cell r="H680">
            <v>0</v>
          </cell>
          <cell r="I680">
            <v>0</v>
          </cell>
          <cell r="J680">
            <v>0</v>
          </cell>
        </row>
        <row r="681">
          <cell r="B681" t="str">
            <v>NewsCutter DV Operational Support</v>
          </cell>
          <cell r="C681">
            <v>1650</v>
          </cell>
          <cell r="D681">
            <v>1240</v>
          </cell>
          <cell r="E681">
            <v>1510</v>
          </cell>
          <cell r="F681">
            <v>9920</v>
          </cell>
          <cell r="G681">
            <v>2960</v>
          </cell>
          <cell r="H681">
            <v>1050</v>
          </cell>
          <cell r="I681">
            <v>2927000</v>
          </cell>
          <cell r="J681">
            <v>251500</v>
          </cell>
        </row>
        <row r="682">
          <cell r="B682" t="str">
            <v>Rack-Mounted NewsCutter DV - No Storage</v>
          </cell>
          <cell r="C682">
            <v>54890</v>
          </cell>
          <cell r="D682">
            <v>41200</v>
          </cell>
          <cell r="E682">
            <v>50300</v>
          </cell>
          <cell r="F682">
            <v>329900</v>
          </cell>
          <cell r="G682">
            <v>98400</v>
          </cell>
          <cell r="H682">
            <v>34800</v>
          </cell>
          <cell r="I682">
            <v>97400000</v>
          </cell>
          <cell r="J682">
            <v>8370000</v>
          </cell>
        </row>
        <row r="683">
          <cell r="B683" t="str">
            <v>SDI Upgrade (At time of purchase)</v>
          </cell>
          <cell r="C683">
            <v>1450</v>
          </cell>
          <cell r="D683">
            <v>1100</v>
          </cell>
          <cell r="E683">
            <v>1300</v>
          </cell>
          <cell r="F683">
            <v>8700</v>
          </cell>
          <cell r="G683">
            <v>2600</v>
          </cell>
          <cell r="H683">
            <v>900</v>
          </cell>
          <cell r="I683">
            <v>2600000</v>
          </cell>
          <cell r="J683">
            <v>220000</v>
          </cell>
        </row>
        <row r="684">
          <cell r="B684" t="str">
            <v>NewsCutter DV S/ware Maintenance Program</v>
          </cell>
          <cell r="C684">
            <v>2750</v>
          </cell>
          <cell r="D684">
            <v>2100</v>
          </cell>
          <cell r="E684">
            <v>2500</v>
          </cell>
          <cell r="F684">
            <v>16500</v>
          </cell>
          <cell r="G684">
            <v>4900</v>
          </cell>
          <cell r="H684">
            <v>1700</v>
          </cell>
          <cell r="I684">
            <v>4900000</v>
          </cell>
          <cell r="J684">
            <v>420000</v>
          </cell>
        </row>
        <row r="685">
          <cell r="B685" t="str">
            <v>NewsCutter (No Storage)</v>
          </cell>
          <cell r="C685">
            <v>49545</v>
          </cell>
          <cell r="D685">
            <v>37200</v>
          </cell>
          <cell r="E685">
            <v>45400</v>
          </cell>
          <cell r="F685">
            <v>297800</v>
          </cell>
          <cell r="G685">
            <v>88800</v>
          </cell>
          <cell r="H685">
            <v>31400</v>
          </cell>
          <cell r="I685">
            <v>87900000</v>
          </cell>
          <cell r="J685">
            <v>7550000</v>
          </cell>
        </row>
        <row r="686">
          <cell r="B686" t="str">
            <v>Network hub 10baseT</v>
          </cell>
          <cell r="C686">
            <v>2207</v>
          </cell>
          <cell r="D686">
            <v>1700</v>
          </cell>
          <cell r="E686">
            <v>2000</v>
          </cell>
          <cell r="F686">
            <v>13300</v>
          </cell>
          <cell r="G686">
            <v>4000</v>
          </cell>
          <cell r="H686">
            <v>1400</v>
          </cell>
          <cell r="I686">
            <v>3900000</v>
          </cell>
          <cell r="J686">
            <v>340000</v>
          </cell>
        </row>
        <row r="687">
          <cell r="B687" t="str">
            <v>Norton Utilities</v>
          </cell>
          <cell r="C687">
            <v>160</v>
          </cell>
          <cell r="D687">
            <v>120</v>
          </cell>
          <cell r="E687">
            <v>150</v>
          </cell>
          <cell r="F687">
            <v>960</v>
          </cell>
          <cell r="G687">
            <v>290</v>
          </cell>
          <cell r="H687">
            <v>100</v>
          </cell>
          <cell r="I687">
            <v>284000</v>
          </cell>
          <cell r="J687">
            <v>24400</v>
          </cell>
        </row>
        <row r="688">
          <cell r="B688" t="str">
            <v>Truevision - Nuvista PAL</v>
          </cell>
          <cell r="C688">
            <v>1830</v>
          </cell>
          <cell r="D688">
            <v>1370</v>
          </cell>
          <cell r="E688">
            <v>1680</v>
          </cell>
          <cell r="F688">
            <v>11000</v>
          </cell>
          <cell r="G688">
            <v>3280</v>
          </cell>
          <cell r="H688">
            <v>1160</v>
          </cell>
          <cell r="I688">
            <v>3247000</v>
          </cell>
          <cell r="J688">
            <v>279000</v>
          </cell>
        </row>
        <row r="689">
          <cell r="B689" t="str">
            <v>ABVB Base, Gasket, Component top</v>
          </cell>
          <cell r="C689">
            <v>4337</v>
          </cell>
          <cell r="D689">
            <v>3300</v>
          </cell>
          <cell r="E689">
            <v>4000</v>
          </cell>
          <cell r="F689">
            <v>26100</v>
          </cell>
          <cell r="G689">
            <v>7800</v>
          </cell>
          <cell r="H689">
            <v>2700</v>
          </cell>
          <cell r="I689">
            <v>7700000</v>
          </cell>
          <cell r="J689">
            <v>660000</v>
          </cell>
        </row>
        <row r="690">
          <cell r="B690" t="str">
            <v>ABVB Base, Gasket, SDI top</v>
          </cell>
          <cell r="C690">
            <v>5338</v>
          </cell>
          <cell r="D690">
            <v>4000</v>
          </cell>
          <cell r="E690">
            <v>4900</v>
          </cell>
          <cell r="F690">
            <v>32100</v>
          </cell>
          <cell r="G690">
            <v>9600</v>
          </cell>
          <cell r="H690">
            <v>3400</v>
          </cell>
          <cell r="I690">
            <v>9500000</v>
          </cell>
          <cell r="J690">
            <v>810000</v>
          </cell>
        </row>
        <row r="691">
          <cell r="B691" t="str">
            <v>AudioMedia III PCI board</v>
          </cell>
          <cell r="C691">
            <v>1022</v>
          </cell>
          <cell r="D691">
            <v>770</v>
          </cell>
          <cell r="E691">
            <v>940</v>
          </cell>
          <cell r="F691">
            <v>6140</v>
          </cell>
          <cell r="G691">
            <v>1830</v>
          </cell>
          <cell r="H691">
            <v>650</v>
          </cell>
          <cell r="I691">
            <v>1813000</v>
          </cell>
          <cell r="J691">
            <v>155800</v>
          </cell>
        </row>
        <row r="692">
          <cell r="B692" t="str">
            <v>Amadeus Audio PCI board for MC</v>
          </cell>
          <cell r="C692">
            <v>1985</v>
          </cell>
          <cell r="D692">
            <v>1490</v>
          </cell>
          <cell r="E692">
            <v>1820</v>
          </cell>
          <cell r="F692">
            <v>11930</v>
          </cell>
          <cell r="G692">
            <v>3560</v>
          </cell>
          <cell r="H692">
            <v>1260</v>
          </cell>
          <cell r="I692">
            <v>3522000</v>
          </cell>
          <cell r="J692">
            <v>302600</v>
          </cell>
        </row>
        <row r="693">
          <cell r="B693" t="str">
            <v>PCI Genie Interface board</v>
          </cell>
          <cell r="D693">
            <v>0</v>
          </cell>
          <cell r="E693">
            <v>0</v>
          </cell>
          <cell r="F693">
            <v>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</row>
        <row r="694">
          <cell r="B694" t="str">
            <v>TV T2000 base video board (requires compression and I/O top)</v>
          </cell>
          <cell r="C694">
            <v>2733</v>
          </cell>
          <cell r="D694">
            <v>2000</v>
          </cell>
          <cell r="E694">
            <v>2500</v>
          </cell>
          <cell r="F694">
            <v>16400</v>
          </cell>
          <cell r="G694">
            <v>4900</v>
          </cell>
          <cell r="H694">
            <v>1700</v>
          </cell>
          <cell r="I694">
            <v>4800000</v>
          </cell>
          <cell r="J694">
            <v>420000</v>
          </cell>
        </row>
        <row r="695">
          <cell r="B695" t="str">
            <v>ABVB Base, Gasket, Component top</v>
          </cell>
          <cell r="C695">
            <v>4337</v>
          </cell>
          <cell r="D695">
            <v>3300</v>
          </cell>
          <cell r="E695">
            <v>4000</v>
          </cell>
          <cell r="F695">
            <v>26100</v>
          </cell>
          <cell r="G695">
            <v>7800</v>
          </cell>
          <cell r="H695">
            <v>2700</v>
          </cell>
          <cell r="I695">
            <v>7700000</v>
          </cell>
          <cell r="J695">
            <v>660000</v>
          </cell>
        </row>
        <row r="696">
          <cell r="B696" t="str">
            <v>Avid Component I/O top for PCI T2000 base video board</v>
          </cell>
          <cell r="C696">
            <v>1000</v>
          </cell>
          <cell r="D696">
            <v>750</v>
          </cell>
          <cell r="E696">
            <v>920</v>
          </cell>
          <cell r="F696">
            <v>6010</v>
          </cell>
          <cell r="G696">
            <v>1790</v>
          </cell>
          <cell r="H696">
            <v>630</v>
          </cell>
          <cell r="I696">
            <v>1774000</v>
          </cell>
          <cell r="J696">
            <v>152500</v>
          </cell>
        </row>
        <row r="697">
          <cell r="A697" t="str">
            <v>0010-03011-01</v>
          </cell>
          <cell r="B697" t="str">
            <v>PCI Extender rack mounting kit</v>
          </cell>
          <cell r="C697">
            <v>150</v>
          </cell>
          <cell r="D697">
            <v>110</v>
          </cell>
          <cell r="E697">
            <v>140</v>
          </cell>
          <cell r="F697">
            <v>900</v>
          </cell>
          <cell r="G697">
            <v>270</v>
          </cell>
          <cell r="H697">
            <v>100</v>
          </cell>
          <cell r="I697">
            <v>266000</v>
          </cell>
          <cell r="J697">
            <v>22900</v>
          </cell>
        </row>
        <row r="698">
          <cell r="A698" t="str">
            <v>0030-00291-03</v>
          </cell>
          <cell r="B698" t="str">
            <v>Fast Ethernet adaptor supporting G3 &amp; Extender</v>
          </cell>
          <cell r="C698">
            <v>499</v>
          </cell>
          <cell r="D698">
            <v>370</v>
          </cell>
          <cell r="E698">
            <v>460</v>
          </cell>
          <cell r="F698">
            <v>3000</v>
          </cell>
          <cell r="G698">
            <v>890</v>
          </cell>
          <cell r="H698">
            <v>320</v>
          </cell>
          <cell r="I698">
            <v>885000</v>
          </cell>
          <cell r="J698">
            <v>76100</v>
          </cell>
        </row>
        <row r="699">
          <cell r="B699" t="str">
            <v>Avid Gasket top for PCI T2000 base video board</v>
          </cell>
          <cell r="C699">
            <v>605</v>
          </cell>
          <cell r="D699">
            <v>450</v>
          </cell>
          <cell r="E699">
            <v>550</v>
          </cell>
          <cell r="F699">
            <v>3640</v>
          </cell>
          <cell r="G699">
            <v>1080</v>
          </cell>
          <cell r="H699">
            <v>380</v>
          </cell>
          <cell r="I699">
            <v>1073000</v>
          </cell>
          <cell r="J699">
            <v>92200</v>
          </cell>
        </row>
        <row r="700">
          <cell r="B700" t="str">
            <v>PCI Genie Card</v>
          </cell>
          <cell r="C700">
            <v>12995</v>
          </cell>
          <cell r="D700">
            <v>9700</v>
          </cell>
          <cell r="E700">
            <v>11900</v>
          </cell>
          <cell r="F700">
            <v>78100</v>
          </cell>
          <cell r="G700">
            <v>23300</v>
          </cell>
          <cell r="H700">
            <v>8200</v>
          </cell>
          <cell r="I700">
            <v>23100000</v>
          </cell>
          <cell r="J700">
            <v>1980000</v>
          </cell>
        </row>
        <row r="701">
          <cell r="B701" t="str">
            <v>Avid PCI Janus board</v>
          </cell>
          <cell r="C701">
            <v>3444</v>
          </cell>
          <cell r="D701">
            <v>2600</v>
          </cell>
          <cell r="E701">
            <v>3200</v>
          </cell>
          <cell r="F701">
            <v>20700</v>
          </cell>
          <cell r="G701">
            <v>6200</v>
          </cell>
          <cell r="H701">
            <v>2200</v>
          </cell>
          <cell r="I701">
            <v>6100000</v>
          </cell>
          <cell r="J701">
            <v>530000</v>
          </cell>
        </row>
        <row r="702">
          <cell r="B702" t="str">
            <v>Avid PCI Mandrill board for PCI Janus</v>
          </cell>
          <cell r="C702">
            <v>3995</v>
          </cell>
          <cell r="D702">
            <v>3000</v>
          </cell>
          <cell r="E702">
            <v>3700</v>
          </cell>
          <cell r="F702">
            <v>24000</v>
          </cell>
          <cell r="G702">
            <v>7200</v>
          </cell>
          <cell r="H702">
            <v>2500</v>
          </cell>
          <cell r="I702">
            <v>7100000</v>
          </cell>
          <cell r="J702">
            <v>610000</v>
          </cell>
        </row>
        <row r="703">
          <cell r="B703" t="str">
            <v>Avid PCI Python board for PCI Janus</v>
          </cell>
          <cell r="C703">
            <v>449</v>
          </cell>
          <cell r="D703">
            <v>340</v>
          </cell>
          <cell r="E703">
            <v>410</v>
          </cell>
          <cell r="F703">
            <v>2700</v>
          </cell>
          <cell r="G703">
            <v>800</v>
          </cell>
          <cell r="H703">
            <v>280</v>
          </cell>
          <cell r="I703">
            <v>797000</v>
          </cell>
          <cell r="J703">
            <v>68500</v>
          </cell>
        </row>
        <row r="704">
          <cell r="B704" t="str">
            <v>ABVB Base, Gasket, SDI top</v>
          </cell>
          <cell r="C704">
            <v>5338</v>
          </cell>
          <cell r="D704">
            <v>4000</v>
          </cell>
          <cell r="E704">
            <v>4900</v>
          </cell>
          <cell r="F704">
            <v>32100</v>
          </cell>
          <cell r="G704">
            <v>9600</v>
          </cell>
          <cell r="H704">
            <v>3400</v>
          </cell>
          <cell r="I704">
            <v>9500000</v>
          </cell>
          <cell r="J704">
            <v>810000</v>
          </cell>
        </row>
        <row r="705">
          <cell r="A705" t="str">
            <v>0510-03061-01</v>
          </cell>
          <cell r="B705" t="str">
            <v>Avid PCI SIF Digital Video I/O daughter board</v>
          </cell>
          <cell r="C705">
            <v>2000</v>
          </cell>
          <cell r="D705">
            <v>1500</v>
          </cell>
          <cell r="E705">
            <v>1830</v>
          </cell>
          <cell r="F705">
            <v>12020</v>
          </cell>
          <cell r="G705">
            <v>3580</v>
          </cell>
          <cell r="H705">
            <v>1270</v>
          </cell>
          <cell r="I705">
            <v>3548000</v>
          </cell>
          <cell r="J705">
            <v>304900</v>
          </cell>
        </row>
        <row r="706">
          <cell r="B706" t="str">
            <v>Power Supply 3DFX</v>
          </cell>
          <cell r="C706">
            <v>329</v>
          </cell>
          <cell r="D706">
            <v>250</v>
          </cell>
          <cell r="E706">
            <v>300</v>
          </cell>
          <cell r="F706">
            <v>1980</v>
          </cell>
          <cell r="G706">
            <v>590</v>
          </cell>
          <cell r="H706">
            <v>210</v>
          </cell>
          <cell r="I706">
            <v>584000</v>
          </cell>
          <cell r="J706">
            <v>50200</v>
          </cell>
        </row>
        <row r="707">
          <cell r="B707" t="str">
            <v>Power Supply Audio 4X4</v>
          </cell>
          <cell r="C707">
            <v>35</v>
          </cell>
          <cell r="D707">
            <v>30</v>
          </cell>
          <cell r="E707">
            <v>30</v>
          </cell>
          <cell r="F707">
            <v>210</v>
          </cell>
          <cell r="G707">
            <v>60</v>
          </cell>
          <cell r="H707">
            <v>20</v>
          </cell>
          <cell r="I707">
            <v>62000</v>
          </cell>
          <cell r="J707">
            <v>5300</v>
          </cell>
        </row>
        <row r="708">
          <cell r="B708" t="str">
            <v>Power Supply Audio 8X8</v>
          </cell>
          <cell r="C708">
            <v>35</v>
          </cell>
          <cell r="D708">
            <v>30</v>
          </cell>
          <cell r="E708">
            <v>30</v>
          </cell>
          <cell r="F708">
            <v>210</v>
          </cell>
          <cell r="G708">
            <v>60</v>
          </cell>
          <cell r="H708">
            <v>20</v>
          </cell>
          <cell r="I708">
            <v>62000</v>
          </cell>
          <cell r="J708">
            <v>5300</v>
          </cell>
        </row>
        <row r="709">
          <cell r="B709" t="str">
            <v>Power Supply BBGEN</v>
          </cell>
          <cell r="C709">
            <v>100</v>
          </cell>
          <cell r="D709">
            <v>80</v>
          </cell>
          <cell r="E709">
            <v>90</v>
          </cell>
          <cell r="F709">
            <v>600</v>
          </cell>
          <cell r="G709">
            <v>180</v>
          </cell>
          <cell r="H709">
            <v>60</v>
          </cell>
          <cell r="I709">
            <v>177000</v>
          </cell>
          <cell r="J709">
            <v>15200</v>
          </cell>
        </row>
        <row r="710">
          <cell r="B710" t="str">
            <v>Power Supply MegaDrive Chassis</v>
          </cell>
          <cell r="C710">
            <v>240</v>
          </cell>
          <cell r="D710">
            <v>180</v>
          </cell>
          <cell r="E710">
            <v>220</v>
          </cell>
          <cell r="F710">
            <v>1440</v>
          </cell>
          <cell r="G710">
            <v>430</v>
          </cell>
          <cell r="H710">
            <v>150</v>
          </cell>
          <cell r="I710">
            <v>426000</v>
          </cell>
          <cell r="J710">
            <v>36600</v>
          </cell>
        </row>
        <row r="711">
          <cell r="B711" t="str">
            <v>Power Supply MackTechnologies Chassis</v>
          </cell>
          <cell r="C711">
            <v>240</v>
          </cell>
          <cell r="D711">
            <v>180</v>
          </cell>
          <cell r="E711">
            <v>220</v>
          </cell>
          <cell r="F711">
            <v>1440</v>
          </cell>
          <cell r="G711">
            <v>430</v>
          </cell>
          <cell r="H711">
            <v>150</v>
          </cell>
          <cell r="I711">
            <v>426000</v>
          </cell>
          <cell r="J711">
            <v>36600</v>
          </cell>
        </row>
        <row r="712">
          <cell r="B712" t="str">
            <v>Power Supply for MX500 Chassis</v>
          </cell>
          <cell r="C712">
            <v>200</v>
          </cell>
          <cell r="D712">
            <v>150</v>
          </cell>
          <cell r="E712">
            <v>180</v>
          </cell>
          <cell r="F712">
            <v>1200</v>
          </cell>
          <cell r="G712">
            <v>360</v>
          </cell>
          <cell r="H712">
            <v>130</v>
          </cell>
          <cell r="I712">
            <v>355000</v>
          </cell>
          <cell r="J712">
            <v>30500</v>
          </cell>
        </row>
        <row r="713">
          <cell r="B713" t="str">
            <v>Rack Mouted Chassis Inc Drives, 18GB</v>
          </cell>
          <cell r="C713">
            <v>9000</v>
          </cell>
          <cell r="D713">
            <v>6800</v>
          </cell>
          <cell r="E713">
            <v>8200</v>
          </cell>
          <cell r="F713">
            <v>54100</v>
          </cell>
          <cell r="G713">
            <v>16100</v>
          </cell>
          <cell r="H713">
            <v>5700</v>
          </cell>
          <cell r="I713">
            <v>16000000</v>
          </cell>
          <cell r="J713">
            <v>1370000</v>
          </cell>
        </row>
        <row r="714">
          <cell r="B714" t="str">
            <v>Rack Mouted Chassis Inc Drives, 27GB</v>
          </cell>
          <cell r="C714">
            <v>12500</v>
          </cell>
          <cell r="D714">
            <v>9400</v>
          </cell>
          <cell r="E714">
            <v>11500</v>
          </cell>
          <cell r="F714">
            <v>75100</v>
          </cell>
          <cell r="G714">
            <v>22400</v>
          </cell>
          <cell r="H714">
            <v>7900</v>
          </cell>
          <cell r="I714">
            <v>22200000</v>
          </cell>
          <cell r="J714">
            <v>1910000</v>
          </cell>
        </row>
        <row r="715">
          <cell r="B715" t="str">
            <v>Rack Mouted Chassis Inc Drives and LUT, 27GB</v>
          </cell>
          <cell r="C715">
            <v>13000</v>
          </cell>
          <cell r="D715">
            <v>9800</v>
          </cell>
          <cell r="E715">
            <v>11900</v>
          </cell>
          <cell r="F715">
            <v>78100</v>
          </cell>
          <cell r="G715">
            <v>23300</v>
          </cell>
          <cell r="H715">
            <v>8200</v>
          </cell>
          <cell r="I715">
            <v>23100000</v>
          </cell>
          <cell r="J715">
            <v>1980000</v>
          </cell>
        </row>
        <row r="716">
          <cell r="B716" t="str">
            <v>Rack Mouted Chassis Inc Drives, 36GB</v>
          </cell>
          <cell r="C716">
            <v>14000</v>
          </cell>
          <cell r="D716">
            <v>10500</v>
          </cell>
          <cell r="E716">
            <v>12800</v>
          </cell>
          <cell r="F716">
            <v>84100</v>
          </cell>
          <cell r="G716">
            <v>25100</v>
          </cell>
          <cell r="H716">
            <v>8900</v>
          </cell>
          <cell r="I716">
            <v>24800000</v>
          </cell>
          <cell r="J716">
            <v>2130000</v>
          </cell>
        </row>
        <row r="717">
          <cell r="B717" t="str">
            <v>Rack Mouted Chassis Inc Drives, 9GB</v>
          </cell>
          <cell r="C717">
            <v>4500</v>
          </cell>
          <cell r="D717">
            <v>3400</v>
          </cell>
          <cell r="E717">
            <v>4100</v>
          </cell>
          <cell r="F717">
            <v>27000</v>
          </cell>
          <cell r="G717">
            <v>8100</v>
          </cell>
          <cell r="H717">
            <v>2900</v>
          </cell>
          <cell r="I717">
            <v>8000000</v>
          </cell>
          <cell r="J717">
            <v>690000</v>
          </cell>
        </row>
        <row r="718">
          <cell r="B718" t="str">
            <v>Rack Mouted Chassis (No Drives)</v>
          </cell>
          <cell r="C718">
            <v>1300</v>
          </cell>
          <cell r="D718">
            <v>980</v>
          </cell>
          <cell r="E718">
            <v>1190</v>
          </cell>
          <cell r="F718">
            <v>7810</v>
          </cell>
          <cell r="G718">
            <v>2330</v>
          </cell>
          <cell r="H718">
            <v>820</v>
          </cell>
          <cell r="I718">
            <v>2306000</v>
          </cell>
          <cell r="J718">
            <v>198200</v>
          </cell>
        </row>
        <row r="719">
          <cell r="B719" t="str">
            <v>Rack Mouted Chassis and LUT (No Drives)</v>
          </cell>
          <cell r="C719">
            <v>2600</v>
          </cell>
          <cell r="D719">
            <v>2000</v>
          </cell>
          <cell r="E719">
            <v>2400</v>
          </cell>
          <cell r="F719">
            <v>15600</v>
          </cell>
          <cell r="G719">
            <v>4700</v>
          </cell>
          <cell r="H719">
            <v>1600</v>
          </cell>
          <cell r="I719">
            <v>4600000</v>
          </cell>
          <cell r="J719">
            <v>400000</v>
          </cell>
        </row>
        <row r="720">
          <cell r="B720" t="str">
            <v>Rack Mount RAID3 with 34Gb Storage &amp; Transoft box</v>
          </cell>
          <cell r="C720">
            <v>58000</v>
          </cell>
          <cell r="D720">
            <v>43500</v>
          </cell>
          <cell r="E720">
            <v>53100</v>
          </cell>
          <cell r="F720">
            <v>348600</v>
          </cell>
          <cell r="G720">
            <v>103900</v>
          </cell>
          <cell r="H720">
            <v>36800</v>
          </cell>
          <cell r="I720">
            <v>102900000</v>
          </cell>
          <cell r="J720">
            <v>8840000</v>
          </cell>
        </row>
        <row r="721">
          <cell r="B721" t="str">
            <v>Ciprico RAID Array (7000)</v>
          </cell>
          <cell r="C721">
            <v>79990</v>
          </cell>
          <cell r="D721">
            <v>60000</v>
          </cell>
          <cell r="E721">
            <v>73300</v>
          </cell>
          <cell r="F721">
            <v>480800</v>
          </cell>
          <cell r="G721">
            <v>143300</v>
          </cell>
          <cell r="H721">
            <v>50700</v>
          </cell>
          <cell r="I721">
            <v>141900000</v>
          </cell>
          <cell r="J721">
            <v>12190000</v>
          </cell>
        </row>
        <row r="722">
          <cell r="B722" t="str">
            <v>Safety Net Program for Ciprico 7000's (x6)</v>
          </cell>
          <cell r="C722">
            <v>7600</v>
          </cell>
          <cell r="D722">
            <v>5700</v>
          </cell>
          <cell r="E722">
            <v>7000</v>
          </cell>
          <cell r="F722">
            <v>45700</v>
          </cell>
          <cell r="G722">
            <v>13600</v>
          </cell>
          <cell r="H722">
            <v>4800</v>
          </cell>
          <cell r="I722">
            <v>13500000</v>
          </cell>
          <cell r="J722">
            <v>1160000</v>
          </cell>
        </row>
        <row r="723">
          <cell r="B723" t="str">
            <v>Fibre Channel RAID Controller Card (HIO)</v>
          </cell>
          <cell r="C723">
            <v>34990</v>
          </cell>
          <cell r="D723">
            <v>26200</v>
          </cell>
          <cell r="E723">
            <v>32100</v>
          </cell>
          <cell r="F723">
            <v>210300</v>
          </cell>
          <cell r="G723">
            <v>62700</v>
          </cell>
          <cell r="H723">
            <v>22200</v>
          </cell>
          <cell r="I723">
            <v>62100000</v>
          </cell>
          <cell r="J723">
            <v>5330000</v>
          </cell>
        </row>
        <row r="724">
          <cell r="B724" t="str">
            <v>BC 4Hr RAID Client Storage</v>
          </cell>
          <cell r="C724">
            <v>45255</v>
          </cell>
          <cell r="D724">
            <v>33900</v>
          </cell>
          <cell r="E724">
            <v>41500</v>
          </cell>
          <cell r="F724">
            <v>272000</v>
          </cell>
          <cell r="G724">
            <v>81100</v>
          </cell>
          <cell r="H724">
            <v>28700</v>
          </cell>
          <cell r="I724">
            <v>80300000</v>
          </cell>
          <cell r="J724">
            <v>6900000</v>
          </cell>
        </row>
        <row r="725">
          <cell r="B725" t="str">
            <v>BC 9GB Drive for MX500</v>
          </cell>
          <cell r="C725">
            <v>3873</v>
          </cell>
          <cell r="D725">
            <v>2900</v>
          </cell>
          <cell r="E725">
            <v>3500</v>
          </cell>
          <cell r="F725">
            <v>23300</v>
          </cell>
          <cell r="G725">
            <v>6900</v>
          </cell>
          <cell r="H725">
            <v>2500</v>
          </cell>
          <cell r="I725">
            <v>6900000</v>
          </cell>
          <cell r="J725">
            <v>590000</v>
          </cell>
        </row>
        <row r="726">
          <cell r="B726" t="str">
            <v>BC 16Hr RAID Server Storage</v>
          </cell>
          <cell r="C726">
            <v>179900</v>
          </cell>
          <cell r="D726">
            <v>134900</v>
          </cell>
          <cell r="E726">
            <v>164800</v>
          </cell>
          <cell r="F726">
            <v>1081200</v>
          </cell>
          <cell r="G726">
            <v>322400</v>
          </cell>
          <cell r="H726">
            <v>114000</v>
          </cell>
          <cell r="I726">
            <v>319200000</v>
          </cell>
          <cell r="J726">
            <v>27430000</v>
          </cell>
        </row>
        <row r="727">
          <cell r="B727" t="str">
            <v>SA4 Audio Co-Processor Board</v>
          </cell>
          <cell r="C727">
            <v>779</v>
          </cell>
          <cell r="D727">
            <v>580</v>
          </cell>
          <cell r="E727">
            <v>710</v>
          </cell>
          <cell r="F727">
            <v>4680</v>
          </cell>
          <cell r="G727">
            <v>1400</v>
          </cell>
          <cell r="H727">
            <v>490</v>
          </cell>
          <cell r="I727">
            <v>1382000</v>
          </cell>
          <cell r="J727">
            <v>118800</v>
          </cell>
        </row>
        <row r="728">
          <cell r="B728" t="str">
            <v>Substitute ABVB Analog board with Serial Digital Interface</v>
          </cell>
          <cell r="C728">
            <v>2100</v>
          </cell>
          <cell r="D728">
            <v>1600</v>
          </cell>
          <cell r="E728">
            <v>1900</v>
          </cell>
          <cell r="F728">
            <v>12600</v>
          </cell>
          <cell r="G728">
            <v>3800</v>
          </cell>
          <cell r="H728">
            <v>1300</v>
          </cell>
          <cell r="I728">
            <v>3700000</v>
          </cell>
          <cell r="J728">
            <v>320000</v>
          </cell>
        </row>
        <row r="729">
          <cell r="B729" t="str">
            <v>PCB - Serial Expansion Board</v>
          </cell>
          <cell r="C729">
            <v>390</v>
          </cell>
          <cell r="D729">
            <v>290</v>
          </cell>
          <cell r="E729">
            <v>360</v>
          </cell>
          <cell r="F729">
            <v>2340</v>
          </cell>
          <cell r="G729">
            <v>700</v>
          </cell>
          <cell r="H729">
            <v>250</v>
          </cell>
          <cell r="I729">
            <v>692000</v>
          </cell>
          <cell r="J729">
            <v>59500</v>
          </cell>
        </row>
        <row r="730">
          <cell r="A730" t="str">
            <v>0540-00352-01</v>
          </cell>
          <cell r="B730" t="str">
            <v>Abacus Driver Option for O2 &amp; Octane-Assurance Plus</v>
          </cell>
          <cell r="C730">
            <v>300</v>
          </cell>
          <cell r="D730">
            <v>230</v>
          </cell>
          <cell r="E730">
            <v>270</v>
          </cell>
          <cell r="F730">
            <v>1800</v>
          </cell>
          <cell r="G730">
            <v>540</v>
          </cell>
          <cell r="H730">
            <v>190</v>
          </cell>
          <cell r="I730">
            <v>532000</v>
          </cell>
          <cell r="J730">
            <v>45700</v>
          </cell>
        </row>
        <row r="731">
          <cell r="A731" t="str">
            <v>0540-00344-01</v>
          </cell>
          <cell r="B731" t="str">
            <v>Elastic Reality for O2-Assurance Plus</v>
          </cell>
          <cell r="C731">
            <v>500</v>
          </cell>
          <cell r="D731">
            <v>380</v>
          </cell>
          <cell r="E731">
            <v>460</v>
          </cell>
          <cell r="F731">
            <v>3010</v>
          </cell>
          <cell r="G731">
            <v>900</v>
          </cell>
          <cell r="H731">
            <v>320</v>
          </cell>
          <cell r="I731">
            <v>887000</v>
          </cell>
          <cell r="J731">
            <v>76200</v>
          </cell>
        </row>
        <row r="732">
          <cell r="A732" t="str">
            <v>0540-03077-01</v>
          </cell>
          <cell r="B732" t="str">
            <v>Elastic Reality for Octane-Assurance Plus</v>
          </cell>
          <cell r="C732">
            <v>700</v>
          </cell>
          <cell r="D732">
            <v>530</v>
          </cell>
          <cell r="E732">
            <v>640</v>
          </cell>
          <cell r="F732">
            <v>4210</v>
          </cell>
          <cell r="G732">
            <v>1250</v>
          </cell>
          <cell r="H732">
            <v>440</v>
          </cell>
          <cell r="I732">
            <v>1242000</v>
          </cell>
          <cell r="J732">
            <v>106700</v>
          </cell>
        </row>
        <row r="733">
          <cell r="B733" t="str">
            <v>Image Independence Option for O2 &amp; Octane-Assurance Plus</v>
          </cell>
          <cell r="C733">
            <v>60</v>
          </cell>
          <cell r="D733">
            <v>50</v>
          </cell>
          <cell r="E733">
            <v>50</v>
          </cell>
          <cell r="F733">
            <v>360</v>
          </cell>
          <cell r="G733">
            <v>110</v>
          </cell>
          <cell r="H733">
            <v>40</v>
          </cell>
          <cell r="I733">
            <v>106000</v>
          </cell>
          <cell r="J733">
            <v>9100</v>
          </cell>
        </row>
        <row r="734">
          <cell r="A734" t="str">
            <v>0540-00076-02</v>
          </cell>
          <cell r="B734" t="str">
            <v>Illusion for O2-Assurance Plus</v>
          </cell>
          <cell r="C734">
            <v>2730</v>
          </cell>
          <cell r="D734">
            <v>2000</v>
          </cell>
          <cell r="E734">
            <v>2500</v>
          </cell>
          <cell r="F734">
            <v>16400</v>
          </cell>
          <cell r="G734">
            <v>4900</v>
          </cell>
          <cell r="H734">
            <v>1700</v>
          </cell>
          <cell r="I734">
            <v>4800000</v>
          </cell>
          <cell r="J734">
            <v>420000</v>
          </cell>
        </row>
        <row r="735">
          <cell r="A735" t="str">
            <v>0540-00339-02</v>
          </cell>
          <cell r="B735" t="str">
            <v>Illusion Bacground Renderer for Octane-Assurance Plus</v>
          </cell>
          <cell r="C735">
            <v>660</v>
          </cell>
          <cell r="D735">
            <v>500</v>
          </cell>
          <cell r="E735">
            <v>600</v>
          </cell>
          <cell r="F735">
            <v>3970</v>
          </cell>
          <cell r="G735">
            <v>1180</v>
          </cell>
          <cell r="H735">
            <v>420</v>
          </cell>
          <cell r="I735">
            <v>1171000</v>
          </cell>
          <cell r="J735">
            <v>100600</v>
          </cell>
        </row>
        <row r="736">
          <cell r="A736" t="str">
            <v>0540-00339-01</v>
          </cell>
          <cell r="B736" t="str">
            <v>Illusion Background Renderer for O2-Assurance Plus</v>
          </cell>
          <cell r="C736">
            <v>530</v>
          </cell>
          <cell r="D736">
            <v>400</v>
          </cell>
          <cell r="E736">
            <v>490</v>
          </cell>
          <cell r="F736">
            <v>3190</v>
          </cell>
          <cell r="G736">
            <v>950</v>
          </cell>
          <cell r="H736">
            <v>340</v>
          </cell>
          <cell r="I736">
            <v>940000</v>
          </cell>
          <cell r="J736">
            <v>80800</v>
          </cell>
        </row>
        <row r="737">
          <cell r="A737" t="str">
            <v>0540-00485-01</v>
          </cell>
          <cell r="B737" t="str">
            <v>Illusion Primatte keyer Option for O2 &amp; Octane-Assurance Plus</v>
          </cell>
          <cell r="C737">
            <v>770</v>
          </cell>
          <cell r="D737">
            <v>580</v>
          </cell>
          <cell r="E737">
            <v>710</v>
          </cell>
          <cell r="F737">
            <v>4630</v>
          </cell>
          <cell r="G737">
            <v>1380</v>
          </cell>
          <cell r="H737">
            <v>490</v>
          </cell>
          <cell r="I737">
            <v>1366000</v>
          </cell>
          <cell r="J737">
            <v>117400</v>
          </cell>
        </row>
        <row r="738">
          <cell r="A738" t="str">
            <v>0540-00486-01</v>
          </cell>
          <cell r="B738" t="str">
            <v>Illusion Tinder UFOs Option for O2&amp; Octane-Assurance Plus</v>
          </cell>
          <cell r="C738">
            <v>390</v>
          </cell>
          <cell r="D738">
            <v>290</v>
          </cell>
          <cell r="E738">
            <v>360</v>
          </cell>
          <cell r="F738">
            <v>2340</v>
          </cell>
          <cell r="G738">
            <v>700</v>
          </cell>
          <cell r="H738">
            <v>250</v>
          </cell>
          <cell r="I738">
            <v>692000</v>
          </cell>
          <cell r="J738">
            <v>59500</v>
          </cell>
        </row>
        <row r="739">
          <cell r="A739" t="str">
            <v>0540-00484-01</v>
          </cell>
          <cell r="B739" t="str">
            <v>Illusion Ultimatte Keyer option for O2 &amp; Octane-Assurance Plus</v>
          </cell>
          <cell r="C739">
            <v>1100</v>
          </cell>
          <cell r="D739">
            <v>830</v>
          </cell>
          <cell r="E739">
            <v>1010</v>
          </cell>
          <cell r="F739">
            <v>6610</v>
          </cell>
          <cell r="G739">
            <v>1970</v>
          </cell>
          <cell r="H739">
            <v>700</v>
          </cell>
          <cell r="I739">
            <v>1952000</v>
          </cell>
          <cell r="J739">
            <v>167700</v>
          </cell>
        </row>
        <row r="740">
          <cell r="A740" t="str">
            <v>0540-00478-02</v>
          </cell>
          <cell r="B740" t="str">
            <v>Illusion for Octane-Assurance Plus</v>
          </cell>
          <cell r="C740">
            <v>3410</v>
          </cell>
          <cell r="D740">
            <v>2600</v>
          </cell>
          <cell r="E740">
            <v>3100</v>
          </cell>
          <cell r="F740">
            <v>20500</v>
          </cell>
          <cell r="G740">
            <v>6100</v>
          </cell>
          <cell r="H740">
            <v>2200</v>
          </cell>
          <cell r="I740">
            <v>6000000</v>
          </cell>
          <cell r="J740">
            <v>520000</v>
          </cell>
        </row>
        <row r="741">
          <cell r="A741" t="str">
            <v>0540-00351-01</v>
          </cell>
          <cell r="B741" t="str">
            <v>Lightening FX Option for O2 &amp; Octane-Asurance Plus</v>
          </cell>
          <cell r="C741">
            <v>300</v>
          </cell>
          <cell r="D741">
            <v>230</v>
          </cell>
          <cell r="E741">
            <v>270</v>
          </cell>
          <cell r="F741">
            <v>1800</v>
          </cell>
          <cell r="G741">
            <v>540</v>
          </cell>
          <cell r="H741">
            <v>190</v>
          </cell>
          <cell r="I741">
            <v>532000</v>
          </cell>
          <cell r="J741">
            <v>45700</v>
          </cell>
        </row>
        <row r="742">
          <cell r="A742" t="str">
            <v>0540-00806-01</v>
          </cell>
          <cell r="B742" t="str">
            <v>Marquee or SGI &amp; NT-Assurance Plus</v>
          </cell>
          <cell r="C742">
            <v>835</v>
          </cell>
          <cell r="D742">
            <v>630</v>
          </cell>
          <cell r="E742">
            <v>770</v>
          </cell>
          <cell r="F742">
            <v>5020</v>
          </cell>
          <cell r="G742">
            <v>1500</v>
          </cell>
          <cell r="H742">
            <v>530</v>
          </cell>
          <cell r="I742">
            <v>1481000</v>
          </cell>
          <cell r="J742">
            <v>127300</v>
          </cell>
        </row>
        <row r="743">
          <cell r="A743" t="str">
            <v>0540-00333-02</v>
          </cell>
          <cell r="B743" t="str">
            <v>Matador 64bit Colour Depth Option for O2 &amp; Octane-Assurance Plus</v>
          </cell>
          <cell r="C743">
            <v>280</v>
          </cell>
          <cell r="D743">
            <v>210</v>
          </cell>
          <cell r="E743">
            <v>260</v>
          </cell>
          <cell r="F743">
            <v>1680</v>
          </cell>
          <cell r="G743">
            <v>500</v>
          </cell>
          <cell r="H743">
            <v>180</v>
          </cell>
          <cell r="I743">
            <v>497000</v>
          </cell>
          <cell r="J743">
            <v>42700</v>
          </cell>
        </row>
        <row r="744">
          <cell r="B744" t="str">
            <v>Matador Animatte for O2-Assurance Plus</v>
          </cell>
          <cell r="C744">
            <v>1540</v>
          </cell>
          <cell r="D744">
            <v>1160</v>
          </cell>
          <cell r="E744">
            <v>1410</v>
          </cell>
          <cell r="F744">
            <v>9260</v>
          </cell>
          <cell r="G744">
            <v>2760</v>
          </cell>
          <cell r="H744">
            <v>980</v>
          </cell>
          <cell r="I744">
            <v>2732000</v>
          </cell>
          <cell r="J744">
            <v>234800</v>
          </cell>
        </row>
        <row r="745">
          <cell r="A745" t="str">
            <v>0540-00330-02</v>
          </cell>
          <cell r="B745" t="str">
            <v>Matador Animatte for Octane-Assurance Plus</v>
          </cell>
          <cell r="C745">
            <v>1930</v>
          </cell>
          <cell r="D745">
            <v>1450</v>
          </cell>
          <cell r="E745">
            <v>1770</v>
          </cell>
          <cell r="F745">
            <v>11600</v>
          </cell>
          <cell r="G745">
            <v>3460</v>
          </cell>
          <cell r="H745">
            <v>1220</v>
          </cell>
          <cell r="I745">
            <v>3424000</v>
          </cell>
          <cell r="J745">
            <v>294200</v>
          </cell>
        </row>
        <row r="746">
          <cell r="A746" t="str">
            <v>0540-00483-02</v>
          </cell>
          <cell r="B746" t="str">
            <v>Matador Background Renderer for Octane-Assurance Plus</v>
          </cell>
          <cell r="C746">
            <v>660</v>
          </cell>
          <cell r="D746">
            <v>500</v>
          </cell>
          <cell r="E746">
            <v>600</v>
          </cell>
          <cell r="F746">
            <v>3970</v>
          </cell>
          <cell r="G746">
            <v>1180</v>
          </cell>
          <cell r="H746">
            <v>420</v>
          </cell>
          <cell r="I746">
            <v>1171000</v>
          </cell>
          <cell r="J746">
            <v>100600</v>
          </cell>
        </row>
        <row r="747">
          <cell r="A747" t="str">
            <v>0540-00482-02</v>
          </cell>
          <cell r="B747" t="str">
            <v>Matador Background Renderer for O2-Assurance Plus</v>
          </cell>
          <cell r="C747">
            <v>530</v>
          </cell>
          <cell r="D747">
            <v>400</v>
          </cell>
          <cell r="E747">
            <v>490</v>
          </cell>
          <cell r="F747">
            <v>3190</v>
          </cell>
          <cell r="G747">
            <v>950</v>
          </cell>
          <cell r="H747">
            <v>340</v>
          </cell>
          <cell r="I747">
            <v>940000</v>
          </cell>
          <cell r="J747">
            <v>80800</v>
          </cell>
        </row>
        <row r="748">
          <cell r="A748" t="str">
            <v>0540-00476-02</v>
          </cell>
          <cell r="B748" t="str">
            <v>Matador Colour Reduction for O2 &amp; Octane-Assurance Plus</v>
          </cell>
          <cell r="C748">
            <v>280</v>
          </cell>
          <cell r="D748">
            <v>210</v>
          </cell>
          <cell r="E748">
            <v>260</v>
          </cell>
          <cell r="F748">
            <v>1680</v>
          </cell>
          <cell r="G748">
            <v>500</v>
          </cell>
          <cell r="H748">
            <v>180</v>
          </cell>
          <cell r="I748">
            <v>497000</v>
          </cell>
          <cell r="J748">
            <v>42700</v>
          </cell>
        </row>
        <row r="749">
          <cell r="A749" t="str">
            <v>0540-00331-02</v>
          </cell>
          <cell r="B749" t="str">
            <v>Matador Pantone Option for O2 &amp; Octane-Assurance Plus</v>
          </cell>
          <cell r="C749">
            <v>150</v>
          </cell>
          <cell r="D749">
            <v>110</v>
          </cell>
          <cell r="E749">
            <v>140</v>
          </cell>
          <cell r="F749">
            <v>900</v>
          </cell>
          <cell r="G749">
            <v>270</v>
          </cell>
          <cell r="H749">
            <v>100</v>
          </cell>
          <cell r="I749">
            <v>266000</v>
          </cell>
          <cell r="J749">
            <v>22900</v>
          </cell>
        </row>
        <row r="750">
          <cell r="A750" t="str">
            <v>0540-00083-02</v>
          </cell>
          <cell r="B750" t="str">
            <v>Matador Paint for O2-Assurance Plus</v>
          </cell>
          <cell r="C750">
            <v>1100</v>
          </cell>
          <cell r="D750">
            <v>830</v>
          </cell>
          <cell r="E750">
            <v>1010</v>
          </cell>
          <cell r="F750">
            <v>6610</v>
          </cell>
          <cell r="G750">
            <v>1970</v>
          </cell>
          <cell r="H750">
            <v>700</v>
          </cell>
          <cell r="I750">
            <v>1952000</v>
          </cell>
          <cell r="J750">
            <v>167700</v>
          </cell>
        </row>
        <row r="751">
          <cell r="A751" t="str">
            <v>0540-00329-02</v>
          </cell>
          <cell r="B751" t="str">
            <v>Matador Paint for Octane-Assurance Plus</v>
          </cell>
          <cell r="C751">
            <v>1380</v>
          </cell>
          <cell r="D751">
            <v>1040</v>
          </cell>
          <cell r="E751">
            <v>1260</v>
          </cell>
          <cell r="F751">
            <v>8290</v>
          </cell>
          <cell r="G751">
            <v>2470</v>
          </cell>
          <cell r="H751">
            <v>870</v>
          </cell>
          <cell r="I751">
            <v>2448000</v>
          </cell>
          <cell r="J751">
            <v>210400</v>
          </cell>
        </row>
        <row r="752">
          <cell r="B752" t="str">
            <v>Media Composer  9000 PCI Spares Kit</v>
          </cell>
          <cell r="C752">
            <v>27475</v>
          </cell>
          <cell r="D752">
            <v>20600</v>
          </cell>
          <cell r="E752">
            <v>25200</v>
          </cell>
          <cell r="F752">
            <v>165100</v>
          </cell>
          <cell r="G752">
            <v>49200</v>
          </cell>
          <cell r="H752">
            <v>17400</v>
          </cell>
          <cell r="I752">
            <v>48700000</v>
          </cell>
          <cell r="J752">
            <v>4190000</v>
          </cell>
        </row>
        <row r="753">
          <cell r="B753" t="str">
            <v>Media Composer Offline Spares Kit</v>
          </cell>
          <cell r="C753">
            <v>11275</v>
          </cell>
          <cell r="D753">
            <v>8500</v>
          </cell>
          <cell r="E753">
            <v>10300</v>
          </cell>
          <cell r="F753">
            <v>67800</v>
          </cell>
          <cell r="G753">
            <v>20200</v>
          </cell>
          <cell r="H753">
            <v>7100</v>
          </cell>
          <cell r="I753">
            <v>20000000</v>
          </cell>
          <cell r="J753">
            <v>1720000</v>
          </cell>
        </row>
        <row r="754">
          <cell r="B754" t="str">
            <v>MCXpress for Machintosh- Annual ASSURANCE Contract</v>
          </cell>
          <cell r="C754">
            <v>1570</v>
          </cell>
          <cell r="D754">
            <v>1180</v>
          </cell>
          <cell r="E754">
            <v>1440</v>
          </cell>
          <cell r="F754">
            <v>9440</v>
          </cell>
          <cell r="G754">
            <v>2810</v>
          </cell>
          <cell r="H754">
            <v>1000</v>
          </cell>
          <cell r="I754">
            <v>2785000</v>
          </cell>
          <cell r="J754">
            <v>239300</v>
          </cell>
        </row>
        <row r="755">
          <cell r="B755" t="str">
            <v>Xpress for Machintosh- Annual ASSURANCE PLUS Contract</v>
          </cell>
          <cell r="C755">
            <v>1570</v>
          </cell>
          <cell r="D755">
            <v>1180</v>
          </cell>
          <cell r="E755">
            <v>1440</v>
          </cell>
          <cell r="F755">
            <v>9440</v>
          </cell>
          <cell r="G755">
            <v>2810</v>
          </cell>
          <cell r="H755">
            <v>1000</v>
          </cell>
          <cell r="I755">
            <v>2785000</v>
          </cell>
          <cell r="J755">
            <v>239300</v>
          </cell>
        </row>
        <row r="756">
          <cell r="B756" t="str">
            <v>MCX Macintosh Spares Kit</v>
          </cell>
          <cell r="C756">
            <v>11275</v>
          </cell>
          <cell r="D756">
            <v>8500</v>
          </cell>
          <cell r="E756">
            <v>10300</v>
          </cell>
          <cell r="F756">
            <v>67800</v>
          </cell>
          <cell r="G756">
            <v>20200</v>
          </cell>
          <cell r="H756">
            <v>7100</v>
          </cell>
          <cell r="I756">
            <v>20000000</v>
          </cell>
          <cell r="J756">
            <v>1720000</v>
          </cell>
        </row>
        <row r="757">
          <cell r="B757" t="str">
            <v>MCXpress for Windows-Annual ASSURANCE  Contract</v>
          </cell>
          <cell r="C757">
            <v>1795</v>
          </cell>
          <cell r="D757">
            <v>1350</v>
          </cell>
          <cell r="E757">
            <v>1640</v>
          </cell>
          <cell r="F757">
            <v>10790</v>
          </cell>
          <cell r="G757">
            <v>3220</v>
          </cell>
          <cell r="H757">
            <v>1140</v>
          </cell>
          <cell r="I757">
            <v>3185000</v>
          </cell>
          <cell r="J757">
            <v>273600</v>
          </cell>
        </row>
        <row r="758">
          <cell r="B758" t="str">
            <v>MCXpress for Windows-ASSURANCE PLUS  Contract</v>
          </cell>
          <cell r="C758">
            <v>1795</v>
          </cell>
          <cell r="D758">
            <v>1350</v>
          </cell>
          <cell r="E758">
            <v>1640</v>
          </cell>
          <cell r="F758">
            <v>10790</v>
          </cell>
          <cell r="G758">
            <v>3220</v>
          </cell>
          <cell r="H758">
            <v>1140</v>
          </cell>
          <cell r="I758">
            <v>3185000</v>
          </cell>
          <cell r="J758">
            <v>273600</v>
          </cell>
        </row>
        <row r="759">
          <cell r="B759" t="str">
            <v xml:space="preserve">Media Recorder- Annual Assurance Contract </v>
          </cell>
          <cell r="C759">
            <v>2957</v>
          </cell>
          <cell r="D759">
            <v>2200</v>
          </cell>
          <cell r="E759">
            <v>2700</v>
          </cell>
          <cell r="F759">
            <v>17800</v>
          </cell>
          <cell r="G759">
            <v>5300</v>
          </cell>
          <cell r="H759">
            <v>1900</v>
          </cell>
          <cell r="I759">
            <v>5200000</v>
          </cell>
          <cell r="J759">
            <v>450000</v>
          </cell>
        </row>
        <row r="760">
          <cell r="B760" t="str">
            <v>MediaStation-Annual ASSURANCE  Contract</v>
          </cell>
          <cell r="C760">
            <v>1848</v>
          </cell>
          <cell r="D760">
            <v>1390</v>
          </cell>
          <cell r="E760">
            <v>1690</v>
          </cell>
          <cell r="F760">
            <v>11110</v>
          </cell>
          <cell r="G760">
            <v>3310</v>
          </cell>
          <cell r="H760">
            <v>1170</v>
          </cell>
          <cell r="I760">
            <v>3279000</v>
          </cell>
          <cell r="J760">
            <v>281700</v>
          </cell>
        </row>
        <row r="761">
          <cell r="B761" t="str">
            <v>MediaStation-Annual ASSURANCE  PLUS Contract</v>
          </cell>
          <cell r="C761">
            <v>2310</v>
          </cell>
          <cell r="D761">
            <v>1700</v>
          </cell>
          <cell r="E761">
            <v>2100</v>
          </cell>
          <cell r="F761">
            <v>13900</v>
          </cell>
          <cell r="G761">
            <v>4100</v>
          </cell>
          <cell r="H761">
            <v>1500</v>
          </cell>
          <cell r="I761">
            <v>4100000</v>
          </cell>
          <cell r="J761">
            <v>350000</v>
          </cell>
        </row>
        <row r="762">
          <cell r="B762" t="str">
            <v>NewsCutter-Annual ASSURANCE Contract</v>
          </cell>
          <cell r="C762">
            <v>2520</v>
          </cell>
          <cell r="D762">
            <v>1900</v>
          </cell>
          <cell r="E762">
            <v>2300</v>
          </cell>
          <cell r="F762">
            <v>15100</v>
          </cell>
          <cell r="G762">
            <v>4500</v>
          </cell>
          <cell r="H762">
            <v>1600</v>
          </cell>
          <cell r="I762">
            <v>4500000</v>
          </cell>
          <cell r="J762">
            <v>380000</v>
          </cell>
        </row>
        <row r="763">
          <cell r="B763" t="str">
            <v>Newscutter DV-Assurance Plus</v>
          </cell>
          <cell r="C763">
            <v>4000</v>
          </cell>
          <cell r="D763">
            <v>3000</v>
          </cell>
          <cell r="E763">
            <v>3700</v>
          </cell>
          <cell r="F763">
            <v>24000</v>
          </cell>
          <cell r="G763">
            <v>7200</v>
          </cell>
          <cell r="H763">
            <v>2500</v>
          </cell>
          <cell r="I763">
            <v>7100000</v>
          </cell>
          <cell r="J763">
            <v>610000</v>
          </cell>
        </row>
        <row r="764">
          <cell r="B764" t="str">
            <v>Newsplayer DV-Assurance Plus</v>
          </cell>
          <cell r="C764">
            <v>4000</v>
          </cell>
          <cell r="D764">
            <v>3000</v>
          </cell>
          <cell r="E764">
            <v>3700</v>
          </cell>
          <cell r="F764">
            <v>24000</v>
          </cell>
          <cell r="G764">
            <v>7200</v>
          </cell>
          <cell r="H764">
            <v>2500</v>
          </cell>
          <cell r="I764">
            <v>7100000</v>
          </cell>
          <cell r="J764">
            <v>610000</v>
          </cell>
        </row>
        <row r="765">
          <cell r="B765" t="str">
            <v>24x 7 Telephone Support Contract RENEWAL</v>
          </cell>
          <cell r="C765">
            <v>1000</v>
          </cell>
          <cell r="D765">
            <v>750</v>
          </cell>
          <cell r="E765">
            <v>920</v>
          </cell>
          <cell r="F765">
            <v>6010</v>
          </cell>
          <cell r="G765">
            <v>1790</v>
          </cell>
          <cell r="H765">
            <v>630</v>
          </cell>
          <cell r="I765">
            <v>1774000</v>
          </cell>
          <cell r="J765">
            <v>152500</v>
          </cell>
        </row>
        <row r="766">
          <cell r="B766" t="str">
            <v>AP-Annual Assurance Contract RENEWAL</v>
          </cell>
          <cell r="C766">
            <v>2957</v>
          </cell>
          <cell r="D766">
            <v>2200</v>
          </cell>
          <cell r="E766">
            <v>2700</v>
          </cell>
          <cell r="F766">
            <v>17800</v>
          </cell>
          <cell r="G766">
            <v>5300</v>
          </cell>
          <cell r="H766">
            <v>1900</v>
          </cell>
          <cell r="I766">
            <v>5200000</v>
          </cell>
          <cell r="J766">
            <v>450000</v>
          </cell>
        </row>
        <row r="767">
          <cell r="B767" t="str">
            <v>Abacus Driver Option for O2 &amp; Octane-Assurance Plus</v>
          </cell>
          <cell r="C767">
            <v>300</v>
          </cell>
          <cell r="D767">
            <v>230</v>
          </cell>
          <cell r="E767">
            <v>270</v>
          </cell>
          <cell r="F767">
            <v>1800</v>
          </cell>
          <cell r="G767">
            <v>540</v>
          </cell>
          <cell r="H767">
            <v>190</v>
          </cell>
          <cell r="I767">
            <v>532000</v>
          </cell>
          <cell r="J767">
            <v>45700</v>
          </cell>
        </row>
        <row r="768">
          <cell r="B768" t="str">
            <v>AV8/16-Assurance Contract RENEWAL</v>
          </cell>
          <cell r="C768">
            <v>2626</v>
          </cell>
          <cell r="D768">
            <v>2000</v>
          </cell>
          <cell r="E768">
            <v>2400</v>
          </cell>
          <cell r="F768">
            <v>15800</v>
          </cell>
          <cell r="G768">
            <v>4700</v>
          </cell>
          <cell r="H768">
            <v>1700</v>
          </cell>
          <cell r="I768">
            <v>4700000</v>
          </cell>
          <cell r="J768">
            <v>400000</v>
          </cell>
        </row>
        <row r="769">
          <cell r="B769" t="str">
            <v>AV8/16-Annual Assurance Plus Contract RENEWAL</v>
          </cell>
          <cell r="C769">
            <v>3400</v>
          </cell>
          <cell r="D769">
            <v>2600</v>
          </cell>
          <cell r="E769">
            <v>3100</v>
          </cell>
          <cell r="F769">
            <v>20400</v>
          </cell>
          <cell r="G769">
            <v>6100</v>
          </cell>
          <cell r="H769">
            <v>2200</v>
          </cell>
          <cell r="I769">
            <v>6000000</v>
          </cell>
          <cell r="J769">
            <v>520000</v>
          </cell>
        </row>
        <row r="770">
          <cell r="B770" t="str">
            <v>Digital Studio-ASSURANCE PLUS-RENEWAL</v>
          </cell>
          <cell r="D770">
            <v>0</v>
          </cell>
          <cell r="E770">
            <v>0</v>
          </cell>
          <cell r="F770">
            <v>0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</row>
        <row r="771">
          <cell r="A771" t="str">
            <v>0540-03076-01</v>
          </cell>
          <cell r="B771" t="str">
            <v>Elastic Reality for O2-Assurance Plus-Renewal</v>
          </cell>
          <cell r="C771">
            <v>500</v>
          </cell>
          <cell r="D771">
            <v>380</v>
          </cell>
          <cell r="E771">
            <v>460</v>
          </cell>
          <cell r="F771">
            <v>3010</v>
          </cell>
          <cell r="G771">
            <v>900</v>
          </cell>
          <cell r="H771">
            <v>320</v>
          </cell>
          <cell r="I771">
            <v>887000</v>
          </cell>
          <cell r="J771">
            <v>76200</v>
          </cell>
        </row>
        <row r="772">
          <cell r="A772" t="str">
            <v>0540-03078-01</v>
          </cell>
          <cell r="B772" t="str">
            <v>Elastic Reality for Octane-Assurance Plus Renewal</v>
          </cell>
          <cell r="C772">
            <v>700</v>
          </cell>
          <cell r="D772">
            <v>530</v>
          </cell>
          <cell r="E772">
            <v>640</v>
          </cell>
          <cell r="F772">
            <v>4210</v>
          </cell>
          <cell r="G772">
            <v>1250</v>
          </cell>
          <cell r="H772">
            <v>440</v>
          </cell>
          <cell r="I772">
            <v>1242000</v>
          </cell>
          <cell r="J772">
            <v>106700</v>
          </cell>
        </row>
        <row r="773">
          <cell r="B773" t="str">
            <v>Elastic Reality for NT-Assurance Plus Renewal</v>
          </cell>
          <cell r="D773">
            <v>0</v>
          </cell>
          <cell r="E773">
            <v>0</v>
          </cell>
          <cell r="F773">
            <v>0</v>
          </cell>
          <cell r="G773">
            <v>0</v>
          </cell>
          <cell r="H773">
            <v>0</v>
          </cell>
          <cell r="I773">
            <v>0</v>
          </cell>
          <cell r="J773">
            <v>0</v>
          </cell>
        </row>
        <row r="774">
          <cell r="B774" t="str">
            <v>Extended Hardware Option-ASSURANCE contract-RENEWAL</v>
          </cell>
          <cell r="C774">
            <v>4095</v>
          </cell>
          <cell r="D774">
            <v>3100</v>
          </cell>
          <cell r="E774">
            <v>3800</v>
          </cell>
          <cell r="F774">
            <v>24600</v>
          </cell>
          <cell r="G774">
            <v>7300</v>
          </cell>
          <cell r="H774">
            <v>2600</v>
          </cell>
          <cell r="I774">
            <v>7300000</v>
          </cell>
          <cell r="J774">
            <v>620000</v>
          </cell>
        </row>
        <row r="775">
          <cell r="B775" t="str">
            <v>Extended Hardware Option-ASSURANCE PLUS contract-=RENEWAL</v>
          </cell>
          <cell r="C775">
            <v>4500</v>
          </cell>
          <cell r="D775">
            <v>3400</v>
          </cell>
          <cell r="E775">
            <v>4100</v>
          </cell>
          <cell r="F775">
            <v>27000</v>
          </cell>
          <cell r="G775">
            <v>8100</v>
          </cell>
          <cell r="H775">
            <v>2900</v>
          </cell>
          <cell r="I775">
            <v>8000000</v>
          </cell>
          <cell r="J775">
            <v>690000</v>
          </cell>
        </row>
        <row r="776">
          <cell r="B776" t="str">
            <v>Extended Hardware Option w/3D-ASSURANCE contract-RENEWAL</v>
          </cell>
          <cell r="C776">
            <v>5418</v>
          </cell>
          <cell r="D776">
            <v>4100</v>
          </cell>
          <cell r="E776">
            <v>5000</v>
          </cell>
          <cell r="F776">
            <v>32600</v>
          </cell>
          <cell r="G776">
            <v>9700</v>
          </cell>
          <cell r="H776">
            <v>3400</v>
          </cell>
          <cell r="I776">
            <v>9600000</v>
          </cell>
          <cell r="J776">
            <v>830000</v>
          </cell>
        </row>
        <row r="777">
          <cell r="B777" t="str">
            <v>Extended Hardware w/3D-ASSURANCE PLUS-RENEWAL</v>
          </cell>
          <cell r="C777">
            <v>5800</v>
          </cell>
          <cell r="D777">
            <v>4400</v>
          </cell>
          <cell r="E777">
            <v>5300</v>
          </cell>
          <cell r="F777">
            <v>34900</v>
          </cell>
          <cell r="G777">
            <v>10400</v>
          </cell>
          <cell r="H777">
            <v>3700</v>
          </cell>
          <cell r="I777">
            <v>10300000</v>
          </cell>
          <cell r="J777">
            <v>880000</v>
          </cell>
        </row>
        <row r="778">
          <cell r="B778" t="str">
            <v>Avid Extended Hardware Option RENEWAL</v>
          </cell>
          <cell r="C778">
            <v>4900</v>
          </cell>
          <cell r="D778">
            <v>3700</v>
          </cell>
          <cell r="E778">
            <v>4500</v>
          </cell>
          <cell r="F778">
            <v>29400</v>
          </cell>
          <cell r="G778">
            <v>8800</v>
          </cell>
          <cell r="H778">
            <v>3100</v>
          </cell>
          <cell r="I778">
            <v>8700000</v>
          </cell>
          <cell r="J778">
            <v>750000</v>
          </cell>
        </row>
        <row r="779">
          <cell r="B779" t="str">
            <v>FC-Annual AssuraNce Contract RENEWAL</v>
          </cell>
          <cell r="C779">
            <v>2890</v>
          </cell>
          <cell r="D779">
            <v>2200</v>
          </cell>
          <cell r="E779">
            <v>2600</v>
          </cell>
          <cell r="F779">
            <v>17400</v>
          </cell>
          <cell r="G779">
            <v>5200</v>
          </cell>
          <cell r="H779">
            <v>1800</v>
          </cell>
          <cell r="I779">
            <v>5100000</v>
          </cell>
          <cell r="J779">
            <v>440000</v>
          </cell>
        </row>
        <row r="780">
          <cell r="B780" t="str">
            <v>FC-Annual Assurance Plus Contract RENEWAL</v>
          </cell>
          <cell r="C780">
            <v>3612</v>
          </cell>
          <cell r="D780">
            <v>2700</v>
          </cell>
          <cell r="E780">
            <v>3300</v>
          </cell>
          <cell r="F780">
            <v>21700</v>
          </cell>
          <cell r="G780">
            <v>6500</v>
          </cell>
          <cell r="H780">
            <v>2300</v>
          </cell>
          <cell r="I780">
            <v>6400000</v>
          </cell>
          <cell r="J780">
            <v>550000</v>
          </cell>
        </row>
        <row r="781">
          <cell r="B781" t="str">
            <v>Image Independence Option for O2&amp; Octane-Assurance Plus Renewal</v>
          </cell>
          <cell r="C781">
            <v>60</v>
          </cell>
          <cell r="D781">
            <v>50</v>
          </cell>
          <cell r="E781">
            <v>50</v>
          </cell>
          <cell r="F781">
            <v>360</v>
          </cell>
          <cell r="G781">
            <v>110</v>
          </cell>
          <cell r="H781">
            <v>40</v>
          </cell>
          <cell r="I781">
            <v>106000</v>
          </cell>
          <cell r="J781">
            <v>9100</v>
          </cell>
        </row>
        <row r="782">
          <cell r="A782" t="str">
            <v>0540-03074-01</v>
          </cell>
          <cell r="B782" t="str">
            <v>Illusion for O2-Assurance Plus Renewal</v>
          </cell>
          <cell r="C782">
            <v>2730</v>
          </cell>
          <cell r="D782">
            <v>2000</v>
          </cell>
          <cell r="E782">
            <v>2500</v>
          </cell>
          <cell r="F782">
            <v>16400</v>
          </cell>
          <cell r="G782">
            <v>4900</v>
          </cell>
          <cell r="H782">
            <v>1700</v>
          </cell>
          <cell r="I782">
            <v>4800000</v>
          </cell>
          <cell r="J782">
            <v>420000</v>
          </cell>
        </row>
        <row r="783">
          <cell r="B783" t="str">
            <v>Illusion Background Renderer for Octane-Assurance Plus Renewal</v>
          </cell>
          <cell r="C783">
            <v>660</v>
          </cell>
          <cell r="D783">
            <v>500</v>
          </cell>
          <cell r="E783">
            <v>600</v>
          </cell>
          <cell r="F783">
            <v>3970</v>
          </cell>
          <cell r="G783">
            <v>1180</v>
          </cell>
          <cell r="H783">
            <v>420</v>
          </cell>
          <cell r="I783">
            <v>1171000</v>
          </cell>
          <cell r="J783">
            <v>100600</v>
          </cell>
        </row>
        <row r="784">
          <cell r="B784" t="str">
            <v>Illusion Background Renderer for O2-Assurance Plus Renewal</v>
          </cell>
          <cell r="C784">
            <v>530</v>
          </cell>
          <cell r="D784">
            <v>400</v>
          </cell>
          <cell r="E784">
            <v>490</v>
          </cell>
          <cell r="F784">
            <v>3190</v>
          </cell>
          <cell r="G784">
            <v>950</v>
          </cell>
          <cell r="H784">
            <v>340</v>
          </cell>
          <cell r="I784">
            <v>940000</v>
          </cell>
          <cell r="J784">
            <v>80800</v>
          </cell>
        </row>
        <row r="785">
          <cell r="B785" t="str">
            <v>Illusion Primatte Keyer Option for O2 &amp; Octane-Assurance Renewal</v>
          </cell>
          <cell r="C785">
            <v>770</v>
          </cell>
          <cell r="D785">
            <v>580</v>
          </cell>
          <cell r="E785">
            <v>710</v>
          </cell>
          <cell r="F785">
            <v>4630</v>
          </cell>
          <cell r="G785">
            <v>1380</v>
          </cell>
          <cell r="H785">
            <v>490</v>
          </cell>
          <cell r="I785">
            <v>1366000</v>
          </cell>
          <cell r="J785">
            <v>117400</v>
          </cell>
        </row>
        <row r="786">
          <cell r="B786" t="str">
            <v>Illusion Tinder UFOs Option for O2 &amp; Octane-Assurance Renewal</v>
          </cell>
          <cell r="C786">
            <v>390</v>
          </cell>
          <cell r="D786">
            <v>290</v>
          </cell>
          <cell r="E786">
            <v>360</v>
          </cell>
          <cell r="F786">
            <v>2340</v>
          </cell>
          <cell r="G786">
            <v>700</v>
          </cell>
          <cell r="H786">
            <v>250</v>
          </cell>
          <cell r="I786">
            <v>692000</v>
          </cell>
          <cell r="J786">
            <v>59500</v>
          </cell>
        </row>
        <row r="787">
          <cell r="B787" t="str">
            <v>Illusion Ultimaate Keyer Option for O2&amp;Octane-Assurance Plus Renewal</v>
          </cell>
          <cell r="C787">
            <v>1100</v>
          </cell>
          <cell r="D787">
            <v>830</v>
          </cell>
          <cell r="E787">
            <v>1010</v>
          </cell>
          <cell r="F787">
            <v>6610</v>
          </cell>
          <cell r="G787">
            <v>1970</v>
          </cell>
          <cell r="H787">
            <v>700</v>
          </cell>
          <cell r="I787">
            <v>1952000</v>
          </cell>
          <cell r="J787">
            <v>167700</v>
          </cell>
        </row>
        <row r="788">
          <cell r="A788" t="str">
            <v>0540-03075-01</v>
          </cell>
          <cell r="B788" t="str">
            <v>Illusion for Octane-Assurance Plus Renewal</v>
          </cell>
          <cell r="C788">
            <v>3410</v>
          </cell>
          <cell r="D788">
            <v>2600</v>
          </cell>
          <cell r="E788">
            <v>3100</v>
          </cell>
          <cell r="F788">
            <v>20500</v>
          </cell>
          <cell r="G788">
            <v>6100</v>
          </cell>
          <cell r="H788">
            <v>2200</v>
          </cell>
          <cell r="I788">
            <v>6000000</v>
          </cell>
          <cell r="J788">
            <v>520000</v>
          </cell>
        </row>
        <row r="789">
          <cell r="B789" t="str">
            <v>Lightening FX Otion for O2&amp;Octane-Assurance Plus Renewal</v>
          </cell>
          <cell r="C789">
            <v>300</v>
          </cell>
          <cell r="D789">
            <v>230</v>
          </cell>
          <cell r="E789">
            <v>270</v>
          </cell>
          <cell r="F789">
            <v>1800</v>
          </cell>
          <cell r="G789">
            <v>540</v>
          </cell>
          <cell r="H789">
            <v>190</v>
          </cell>
          <cell r="I789">
            <v>532000</v>
          </cell>
          <cell r="J789">
            <v>45700</v>
          </cell>
        </row>
        <row r="790">
          <cell r="A790" t="str">
            <v>0540-03079-01</v>
          </cell>
          <cell r="B790" t="str">
            <v>Marquee for SGI &amp; NT-Assurance Plus Renewal</v>
          </cell>
          <cell r="C790">
            <v>835</v>
          </cell>
          <cell r="D790">
            <v>630</v>
          </cell>
          <cell r="E790">
            <v>770</v>
          </cell>
          <cell r="F790">
            <v>5020</v>
          </cell>
          <cell r="G790">
            <v>1500</v>
          </cell>
          <cell r="H790">
            <v>530</v>
          </cell>
          <cell r="I790">
            <v>1481000</v>
          </cell>
          <cell r="J790">
            <v>127300</v>
          </cell>
        </row>
        <row r="791">
          <cell r="B791" t="str">
            <v>Matador 64bit Colour Depth Option for O2&amp;Octane-Assurance Plus Renewal</v>
          </cell>
          <cell r="C791">
            <v>280</v>
          </cell>
          <cell r="D791">
            <v>210</v>
          </cell>
          <cell r="E791">
            <v>260</v>
          </cell>
          <cell r="F791">
            <v>1680</v>
          </cell>
          <cell r="G791">
            <v>500</v>
          </cell>
          <cell r="H791">
            <v>180</v>
          </cell>
          <cell r="I791">
            <v>497000</v>
          </cell>
          <cell r="J791">
            <v>42700</v>
          </cell>
        </row>
        <row r="792">
          <cell r="A792" t="str">
            <v>0540-03072-01</v>
          </cell>
          <cell r="B792" t="str">
            <v>Matador Animatte for O2-Assurance Plus Renewal</v>
          </cell>
          <cell r="C792">
            <v>1540</v>
          </cell>
          <cell r="D792">
            <v>1160</v>
          </cell>
          <cell r="E792">
            <v>1410</v>
          </cell>
          <cell r="F792">
            <v>9260</v>
          </cell>
          <cell r="G792">
            <v>2760</v>
          </cell>
          <cell r="H792">
            <v>980</v>
          </cell>
          <cell r="I792">
            <v>2732000</v>
          </cell>
          <cell r="J792">
            <v>234800</v>
          </cell>
        </row>
        <row r="793">
          <cell r="A793" t="str">
            <v>0540-03073-01</v>
          </cell>
          <cell r="B793" t="str">
            <v>Matador Animatte for Octane-Assurance Plus Renewal</v>
          </cell>
          <cell r="C793">
            <v>1930</v>
          </cell>
          <cell r="D793">
            <v>1450</v>
          </cell>
          <cell r="E793">
            <v>1770</v>
          </cell>
          <cell r="F793">
            <v>11600</v>
          </cell>
          <cell r="G793">
            <v>3460</v>
          </cell>
          <cell r="H793">
            <v>1220</v>
          </cell>
          <cell r="I793">
            <v>3424000</v>
          </cell>
          <cell r="J793">
            <v>294200</v>
          </cell>
        </row>
        <row r="794">
          <cell r="B794" t="str">
            <v>Matador Background Renderer for Octane -Assurance Plus Renewal</v>
          </cell>
          <cell r="C794">
            <v>660</v>
          </cell>
          <cell r="D794">
            <v>500</v>
          </cell>
          <cell r="E794">
            <v>600</v>
          </cell>
          <cell r="F794">
            <v>3970</v>
          </cell>
          <cell r="G794">
            <v>1180</v>
          </cell>
          <cell r="H794">
            <v>420</v>
          </cell>
          <cell r="I794">
            <v>1171000</v>
          </cell>
          <cell r="J794">
            <v>100600</v>
          </cell>
        </row>
        <row r="795">
          <cell r="B795" t="str">
            <v>Matador Background Renderer for O2-Assurance Plus Renewal</v>
          </cell>
          <cell r="C795">
            <v>530</v>
          </cell>
          <cell r="D795">
            <v>400</v>
          </cell>
          <cell r="E795">
            <v>490</v>
          </cell>
          <cell r="F795">
            <v>3190</v>
          </cell>
          <cell r="G795">
            <v>950</v>
          </cell>
          <cell r="H795">
            <v>340</v>
          </cell>
          <cell r="I795">
            <v>940000</v>
          </cell>
          <cell r="J795">
            <v>80800</v>
          </cell>
        </row>
        <row r="796">
          <cell r="B796" t="str">
            <v>Matador Colour Reduction for O2 &amp; Octane-Assurance Plus Renewal</v>
          </cell>
          <cell r="C796">
            <v>280</v>
          </cell>
          <cell r="D796">
            <v>210</v>
          </cell>
          <cell r="E796">
            <v>260</v>
          </cell>
          <cell r="F796">
            <v>1680</v>
          </cell>
          <cell r="G796">
            <v>500</v>
          </cell>
          <cell r="H796">
            <v>180</v>
          </cell>
          <cell r="I796">
            <v>497000</v>
          </cell>
          <cell r="J796">
            <v>42700</v>
          </cell>
        </row>
        <row r="797">
          <cell r="B797" t="str">
            <v>Matador Pantone Option for O2&amp;Octane-Assurance Plus Renewal</v>
          </cell>
          <cell r="C797">
            <v>150</v>
          </cell>
          <cell r="D797">
            <v>110</v>
          </cell>
          <cell r="E797">
            <v>140</v>
          </cell>
          <cell r="F797">
            <v>900</v>
          </cell>
          <cell r="G797">
            <v>270</v>
          </cell>
          <cell r="H797">
            <v>100</v>
          </cell>
          <cell r="I797">
            <v>266000</v>
          </cell>
          <cell r="J797">
            <v>22900</v>
          </cell>
        </row>
        <row r="798">
          <cell r="A798" t="str">
            <v>0540-03070-01</v>
          </cell>
          <cell r="B798" t="str">
            <v>Matador Paint for O2 -ssurance Plus Renewal</v>
          </cell>
          <cell r="C798">
            <v>1100</v>
          </cell>
          <cell r="D798">
            <v>830</v>
          </cell>
          <cell r="E798">
            <v>1010</v>
          </cell>
          <cell r="F798">
            <v>6610</v>
          </cell>
          <cell r="G798">
            <v>1970</v>
          </cell>
          <cell r="H798">
            <v>700</v>
          </cell>
          <cell r="I798">
            <v>1952000</v>
          </cell>
          <cell r="J798">
            <v>167700</v>
          </cell>
        </row>
        <row r="799">
          <cell r="A799" t="str">
            <v>0540-03071-01</v>
          </cell>
          <cell r="B799" t="str">
            <v>Matador Paint for Octane-Assurance Plus Renewal</v>
          </cell>
          <cell r="C799">
            <v>1380</v>
          </cell>
          <cell r="D799">
            <v>1040</v>
          </cell>
          <cell r="E799">
            <v>1260</v>
          </cell>
          <cell r="F799">
            <v>8290</v>
          </cell>
          <cell r="G799">
            <v>2470</v>
          </cell>
          <cell r="H799">
            <v>870</v>
          </cell>
          <cell r="I799">
            <v>2448000</v>
          </cell>
          <cell r="J799">
            <v>210400</v>
          </cell>
        </row>
        <row r="800">
          <cell r="B800" t="str">
            <v>MCO-Annual Assurance Contract RENEWAL</v>
          </cell>
          <cell r="C800">
            <v>2100</v>
          </cell>
          <cell r="D800">
            <v>1600</v>
          </cell>
          <cell r="E800">
            <v>1900</v>
          </cell>
          <cell r="F800">
            <v>12600</v>
          </cell>
          <cell r="G800">
            <v>3800</v>
          </cell>
          <cell r="H800">
            <v>1300</v>
          </cell>
          <cell r="I800">
            <v>3700000</v>
          </cell>
          <cell r="J800">
            <v>320000</v>
          </cell>
        </row>
        <row r="801">
          <cell r="B801" t="str">
            <v>MC1000-Annual Assurance Contract RENEWAL</v>
          </cell>
          <cell r="C801">
            <v>2402</v>
          </cell>
          <cell r="D801">
            <v>1800</v>
          </cell>
          <cell r="E801">
            <v>2200</v>
          </cell>
          <cell r="F801">
            <v>14400</v>
          </cell>
          <cell r="G801">
            <v>4300</v>
          </cell>
          <cell r="H801">
            <v>1500</v>
          </cell>
          <cell r="I801">
            <v>4300000</v>
          </cell>
          <cell r="J801">
            <v>370000</v>
          </cell>
        </row>
        <row r="802">
          <cell r="B802" t="str">
            <v>MC1000-Annual Assurance Plus Contract RENEWAL</v>
          </cell>
          <cell r="C802">
            <v>3003</v>
          </cell>
          <cell r="D802">
            <v>2300</v>
          </cell>
          <cell r="E802">
            <v>2800</v>
          </cell>
          <cell r="F802">
            <v>18000</v>
          </cell>
          <cell r="G802">
            <v>5400</v>
          </cell>
          <cell r="H802">
            <v>1900</v>
          </cell>
          <cell r="I802">
            <v>5300000</v>
          </cell>
          <cell r="J802">
            <v>460000</v>
          </cell>
        </row>
        <row r="803">
          <cell r="B803" t="str">
            <v>MC400-Annual Assurance Contract RENEWAL</v>
          </cell>
          <cell r="C803">
            <v>1300</v>
          </cell>
          <cell r="D803">
            <v>980</v>
          </cell>
          <cell r="E803">
            <v>1190</v>
          </cell>
          <cell r="F803">
            <v>7810</v>
          </cell>
          <cell r="G803">
            <v>2330</v>
          </cell>
          <cell r="H803">
            <v>820</v>
          </cell>
          <cell r="I803">
            <v>2306000</v>
          </cell>
          <cell r="J803">
            <v>198200</v>
          </cell>
        </row>
        <row r="804">
          <cell r="B804" t="str">
            <v>MC4000-Annual Assurance Contract RENEWAL</v>
          </cell>
          <cell r="C804">
            <v>3318</v>
          </cell>
          <cell r="D804">
            <v>2500</v>
          </cell>
          <cell r="E804">
            <v>3000</v>
          </cell>
          <cell r="F804">
            <v>19900</v>
          </cell>
          <cell r="G804">
            <v>5900</v>
          </cell>
          <cell r="H804">
            <v>2100</v>
          </cell>
          <cell r="I804">
            <v>5900000</v>
          </cell>
          <cell r="J804">
            <v>510000</v>
          </cell>
        </row>
        <row r="805">
          <cell r="B805" t="str">
            <v>MC4000-Annual Assurance Plus Contract RENEWAL</v>
          </cell>
          <cell r="C805">
            <v>4147</v>
          </cell>
          <cell r="D805">
            <v>3100</v>
          </cell>
          <cell r="E805">
            <v>3800</v>
          </cell>
          <cell r="F805">
            <v>24900</v>
          </cell>
          <cell r="G805">
            <v>7400</v>
          </cell>
          <cell r="H805">
            <v>2600</v>
          </cell>
          <cell r="I805">
            <v>7400000</v>
          </cell>
          <cell r="J805">
            <v>630000</v>
          </cell>
        </row>
        <row r="806">
          <cell r="B806" t="str">
            <v>MC800-Annual Assurance Contract RENEWAL</v>
          </cell>
          <cell r="C806">
            <v>2100</v>
          </cell>
          <cell r="D806">
            <v>1600</v>
          </cell>
          <cell r="E806">
            <v>1900</v>
          </cell>
          <cell r="F806">
            <v>12600</v>
          </cell>
          <cell r="G806">
            <v>3800</v>
          </cell>
          <cell r="H806">
            <v>1300</v>
          </cell>
          <cell r="I806">
            <v>3700000</v>
          </cell>
          <cell r="J806">
            <v>320000</v>
          </cell>
        </row>
        <row r="807">
          <cell r="B807" t="str">
            <v>MC8000-Assurance Contract RENEWAL</v>
          </cell>
          <cell r="C807">
            <v>4032</v>
          </cell>
          <cell r="D807">
            <v>3000</v>
          </cell>
          <cell r="E807">
            <v>3700</v>
          </cell>
          <cell r="F807">
            <v>24200</v>
          </cell>
          <cell r="G807">
            <v>7200</v>
          </cell>
          <cell r="H807">
            <v>2600</v>
          </cell>
          <cell r="I807">
            <v>7200000</v>
          </cell>
          <cell r="J807">
            <v>610000</v>
          </cell>
        </row>
        <row r="808">
          <cell r="B808" t="str">
            <v>MC8000-Annual Assurance Plus Contract RENEWAL</v>
          </cell>
          <cell r="C808">
            <v>5040</v>
          </cell>
          <cell r="D808">
            <v>3800</v>
          </cell>
          <cell r="E808">
            <v>4600</v>
          </cell>
          <cell r="F808">
            <v>30300</v>
          </cell>
          <cell r="G808">
            <v>9000</v>
          </cell>
          <cell r="H808">
            <v>3200</v>
          </cell>
          <cell r="I808">
            <v>8900000</v>
          </cell>
          <cell r="J808">
            <v>770000</v>
          </cell>
        </row>
        <row r="809">
          <cell r="B809" t="str">
            <v>MC900-Annual Assurance Contract RENEWAL</v>
          </cell>
          <cell r="C809">
            <v>1944</v>
          </cell>
          <cell r="D809">
            <v>1460</v>
          </cell>
          <cell r="E809">
            <v>1780</v>
          </cell>
          <cell r="F809">
            <v>11680</v>
          </cell>
          <cell r="G809">
            <v>3480</v>
          </cell>
          <cell r="H809">
            <v>1230</v>
          </cell>
          <cell r="I809">
            <v>3449000</v>
          </cell>
          <cell r="J809">
            <v>296400</v>
          </cell>
        </row>
        <row r="810">
          <cell r="B810" t="str">
            <v>MC900-Annual Assurance Plus Contract RENEWAL</v>
          </cell>
          <cell r="C810">
            <v>2430</v>
          </cell>
          <cell r="D810">
            <v>1800</v>
          </cell>
          <cell r="E810">
            <v>2200</v>
          </cell>
          <cell r="F810">
            <v>14600</v>
          </cell>
          <cell r="G810">
            <v>4400</v>
          </cell>
          <cell r="H810">
            <v>1500</v>
          </cell>
          <cell r="I810">
            <v>4300000</v>
          </cell>
          <cell r="J810">
            <v>370000</v>
          </cell>
        </row>
        <row r="811">
          <cell r="B811" t="str">
            <v>MC9000-Annual Assurance Plus Contract RENEWAL</v>
          </cell>
          <cell r="C811">
            <v>5040</v>
          </cell>
          <cell r="D811">
            <v>3800</v>
          </cell>
          <cell r="E811">
            <v>4600</v>
          </cell>
          <cell r="F811">
            <v>30300</v>
          </cell>
          <cell r="G811">
            <v>9000</v>
          </cell>
          <cell r="H811">
            <v>3200</v>
          </cell>
          <cell r="I811">
            <v>8900000</v>
          </cell>
          <cell r="J811">
            <v>770000</v>
          </cell>
        </row>
        <row r="812">
          <cell r="B812" t="str">
            <v>MCO-Annual Assurance Plus Contract RENEWAL</v>
          </cell>
          <cell r="C812">
            <v>2625</v>
          </cell>
          <cell r="D812">
            <v>2000</v>
          </cell>
          <cell r="E812">
            <v>2400</v>
          </cell>
          <cell r="F812">
            <v>15800</v>
          </cell>
          <cell r="G812">
            <v>4700</v>
          </cell>
          <cell r="H812">
            <v>1700</v>
          </cell>
          <cell r="I812">
            <v>4700000</v>
          </cell>
          <cell r="J812">
            <v>400000</v>
          </cell>
        </row>
        <row r="813">
          <cell r="B813" t="str">
            <v>Xpress for Mac-Annual Assurance Contract RENEWAL</v>
          </cell>
          <cell r="C813">
            <v>1570</v>
          </cell>
          <cell r="D813">
            <v>1180</v>
          </cell>
          <cell r="E813">
            <v>1440</v>
          </cell>
          <cell r="F813">
            <v>9440</v>
          </cell>
          <cell r="G813">
            <v>2810</v>
          </cell>
          <cell r="H813">
            <v>1000</v>
          </cell>
          <cell r="I813">
            <v>2785000</v>
          </cell>
          <cell r="J813">
            <v>239300</v>
          </cell>
        </row>
        <row r="814">
          <cell r="B814" t="str">
            <v>Xpress for Mac-Annual Assurance Plus RENEWAL</v>
          </cell>
          <cell r="C814">
            <v>1570</v>
          </cell>
          <cell r="D814">
            <v>1180</v>
          </cell>
          <cell r="E814">
            <v>1440</v>
          </cell>
          <cell r="F814">
            <v>9440</v>
          </cell>
          <cell r="G814">
            <v>2810</v>
          </cell>
          <cell r="H814">
            <v>1000</v>
          </cell>
          <cell r="I814">
            <v>2785000</v>
          </cell>
          <cell r="J814">
            <v>239300</v>
          </cell>
        </row>
        <row r="815">
          <cell r="B815" t="str">
            <v>Media Recorder-ASSURANCE Contract-RENEWAL</v>
          </cell>
          <cell r="C815">
            <v>2957</v>
          </cell>
          <cell r="D815">
            <v>2200</v>
          </cell>
          <cell r="E815">
            <v>2700</v>
          </cell>
          <cell r="F815">
            <v>17800</v>
          </cell>
          <cell r="G815">
            <v>5300</v>
          </cell>
          <cell r="H815">
            <v>1900</v>
          </cell>
          <cell r="I815">
            <v>5200000</v>
          </cell>
          <cell r="J815">
            <v>450000</v>
          </cell>
        </row>
        <row r="816">
          <cell r="B816" t="str">
            <v>MST-Annual Assurance Plus Contract RENEWAL</v>
          </cell>
          <cell r="C816">
            <v>2310</v>
          </cell>
          <cell r="D816">
            <v>1700</v>
          </cell>
          <cell r="E816">
            <v>2100</v>
          </cell>
          <cell r="F816">
            <v>13900</v>
          </cell>
          <cell r="G816">
            <v>4100</v>
          </cell>
          <cell r="H816">
            <v>1500</v>
          </cell>
          <cell r="I816">
            <v>4100000</v>
          </cell>
          <cell r="J816">
            <v>350000</v>
          </cell>
        </row>
        <row r="817">
          <cell r="B817" t="str">
            <v>NC-Annual Assurance Contract RENEWAL</v>
          </cell>
          <cell r="C817">
            <v>2520</v>
          </cell>
          <cell r="D817">
            <v>1900</v>
          </cell>
          <cell r="E817">
            <v>2300</v>
          </cell>
          <cell r="F817">
            <v>15100</v>
          </cell>
          <cell r="G817">
            <v>4500</v>
          </cell>
          <cell r="H817">
            <v>1600</v>
          </cell>
          <cell r="I817">
            <v>4500000</v>
          </cell>
          <cell r="J817">
            <v>380000</v>
          </cell>
        </row>
        <row r="818">
          <cell r="B818" t="str">
            <v>Newscutter DV-Assurance Plus Renewal</v>
          </cell>
          <cell r="C818">
            <v>4000</v>
          </cell>
          <cell r="D818">
            <v>3000</v>
          </cell>
          <cell r="E818">
            <v>3700</v>
          </cell>
          <cell r="F818">
            <v>24000</v>
          </cell>
          <cell r="G818">
            <v>7200</v>
          </cell>
          <cell r="H818">
            <v>2500</v>
          </cell>
          <cell r="I818">
            <v>7100000</v>
          </cell>
          <cell r="J818">
            <v>610000</v>
          </cell>
        </row>
        <row r="819">
          <cell r="B819" t="str">
            <v>Newsplayer DV-Assurance Plus Renewal</v>
          </cell>
          <cell r="C819">
            <v>4000</v>
          </cell>
          <cell r="D819">
            <v>3000</v>
          </cell>
          <cell r="E819">
            <v>3700</v>
          </cell>
          <cell r="F819">
            <v>24000</v>
          </cell>
          <cell r="G819">
            <v>7200</v>
          </cell>
          <cell r="H819">
            <v>2500</v>
          </cell>
          <cell r="I819">
            <v>7100000</v>
          </cell>
          <cell r="J819">
            <v>610000</v>
          </cell>
        </row>
        <row r="820">
          <cell r="B820" t="str">
            <v>Service  Level Agreement-Assurance Renewal</v>
          </cell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</row>
        <row r="821">
          <cell r="B821" t="str">
            <v>Symphony-ASSURANCE PLUS-RENEWAL</v>
          </cell>
          <cell r="C821">
            <v>6300</v>
          </cell>
          <cell r="D821">
            <v>4700</v>
          </cell>
          <cell r="E821">
            <v>5800</v>
          </cell>
          <cell r="F821">
            <v>37900</v>
          </cell>
          <cell r="G821">
            <v>11300</v>
          </cell>
          <cell r="H821">
            <v>4000</v>
          </cell>
          <cell r="I821">
            <v>11200000</v>
          </cell>
          <cell r="J821">
            <v>960000</v>
          </cell>
        </row>
        <row r="822">
          <cell r="B822" t="str">
            <v>Xpress Macintosh Assurance Plus Renewal</v>
          </cell>
          <cell r="C822">
            <v>1570</v>
          </cell>
          <cell r="D822">
            <v>1180</v>
          </cell>
          <cell r="E822">
            <v>1440</v>
          </cell>
          <cell r="F822">
            <v>9440</v>
          </cell>
          <cell r="G822">
            <v>2810</v>
          </cell>
          <cell r="H822">
            <v>1000</v>
          </cell>
          <cell r="I822">
            <v>2785000</v>
          </cell>
          <cell r="J822">
            <v>239300</v>
          </cell>
        </row>
        <row r="823">
          <cell r="B823" t="str">
            <v>Xpress Windows NT-Assurance Plus Renewal</v>
          </cell>
          <cell r="C823">
            <v>1795</v>
          </cell>
          <cell r="D823">
            <v>1350</v>
          </cell>
          <cell r="E823">
            <v>1640</v>
          </cell>
          <cell r="F823">
            <v>10790</v>
          </cell>
          <cell r="G823">
            <v>3220</v>
          </cell>
          <cell r="H823">
            <v>1140</v>
          </cell>
          <cell r="I823">
            <v>3185000</v>
          </cell>
          <cell r="J823">
            <v>273600</v>
          </cell>
        </row>
        <row r="824">
          <cell r="B824" t="str">
            <v>Avid Service Level Agreement</v>
          </cell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G824">
            <v>0</v>
          </cell>
          <cell r="H824">
            <v>0</v>
          </cell>
          <cell r="I824">
            <v>0</v>
          </cell>
          <cell r="J824">
            <v>0</v>
          </cell>
        </row>
        <row r="825">
          <cell r="B825" t="str">
            <v>Symphony-ASSURANCE PLUS-02</v>
          </cell>
          <cell r="C825">
            <v>6300</v>
          </cell>
          <cell r="D825">
            <v>4700</v>
          </cell>
          <cell r="E825">
            <v>5800</v>
          </cell>
          <cell r="F825">
            <v>37900</v>
          </cell>
          <cell r="G825">
            <v>11300</v>
          </cell>
          <cell r="H825">
            <v>4000</v>
          </cell>
          <cell r="I825">
            <v>11200000</v>
          </cell>
          <cell r="J825">
            <v>960000</v>
          </cell>
        </row>
        <row r="826">
          <cell r="B826" t="str">
            <v>Xpress Macintosh-Assurance Plus</v>
          </cell>
          <cell r="C826">
            <v>1570</v>
          </cell>
          <cell r="D826">
            <v>1180</v>
          </cell>
          <cell r="E826">
            <v>1440</v>
          </cell>
          <cell r="F826">
            <v>9440</v>
          </cell>
          <cell r="G826">
            <v>2810</v>
          </cell>
          <cell r="H826">
            <v>1000</v>
          </cell>
          <cell r="I826">
            <v>2785000</v>
          </cell>
          <cell r="J826">
            <v>239300</v>
          </cell>
        </row>
        <row r="827">
          <cell r="B827" t="str">
            <v>Xpress Window NT-Assurance Plus</v>
          </cell>
          <cell r="C827">
            <v>1795</v>
          </cell>
          <cell r="D827">
            <v>1350</v>
          </cell>
          <cell r="E827">
            <v>1640</v>
          </cell>
          <cell r="F827">
            <v>10790</v>
          </cell>
          <cell r="G827">
            <v>3220</v>
          </cell>
          <cell r="H827">
            <v>1140</v>
          </cell>
          <cell r="I827">
            <v>3185000</v>
          </cell>
          <cell r="J827">
            <v>273600</v>
          </cell>
        </row>
        <row r="828">
          <cell r="A828" t="str">
            <v>0120-00010-01</v>
          </cell>
          <cell r="B828" t="str">
            <v>One Roland MA-20 Amplified Speaker European Plug</v>
          </cell>
          <cell r="C828">
            <v>175</v>
          </cell>
          <cell r="D828">
            <v>130</v>
          </cell>
          <cell r="E828">
            <v>160</v>
          </cell>
          <cell r="F828">
            <v>1050</v>
          </cell>
          <cell r="G828">
            <v>310</v>
          </cell>
          <cell r="H828">
            <v>110</v>
          </cell>
          <cell r="I828">
            <v>310000</v>
          </cell>
          <cell r="J828">
            <v>26700</v>
          </cell>
        </row>
        <row r="829">
          <cell r="A829" t="str">
            <v>0010-00506-01</v>
          </cell>
          <cell r="B829" t="str">
            <v>Pair of Roland speakers with Euro plug</v>
          </cell>
          <cell r="C829">
            <v>350</v>
          </cell>
          <cell r="D829">
            <v>260</v>
          </cell>
          <cell r="E829">
            <v>320</v>
          </cell>
          <cell r="F829">
            <v>2100</v>
          </cell>
          <cell r="G829">
            <v>630</v>
          </cell>
          <cell r="H829">
            <v>220</v>
          </cell>
          <cell r="I829">
            <v>621000</v>
          </cell>
          <cell r="J829">
            <v>53400</v>
          </cell>
        </row>
        <row r="830">
          <cell r="A830" t="str">
            <v>0010-03380-01</v>
          </cell>
          <cell r="B830" t="str">
            <v>Pair of Roland speakers with UK plug</v>
          </cell>
          <cell r="C830">
            <v>350</v>
          </cell>
          <cell r="D830">
            <v>260</v>
          </cell>
          <cell r="E830">
            <v>320</v>
          </cell>
          <cell r="F830">
            <v>2100</v>
          </cell>
          <cell r="G830">
            <v>630</v>
          </cell>
          <cell r="H830">
            <v>220</v>
          </cell>
          <cell r="I830">
            <v>621000</v>
          </cell>
          <cell r="J830">
            <v>53400</v>
          </cell>
        </row>
        <row r="831">
          <cell r="A831" t="str">
            <v>0120-03001-01</v>
          </cell>
          <cell r="B831" t="str">
            <v>One Roland MA-20 Amplified Speaker UK Plug</v>
          </cell>
          <cell r="C831">
            <v>175</v>
          </cell>
          <cell r="D831">
            <v>130</v>
          </cell>
          <cell r="E831">
            <v>160</v>
          </cell>
          <cell r="F831">
            <v>1050</v>
          </cell>
          <cell r="G831">
            <v>310</v>
          </cell>
          <cell r="H831">
            <v>110</v>
          </cell>
          <cell r="I831">
            <v>310000</v>
          </cell>
          <cell r="J831">
            <v>26700</v>
          </cell>
        </row>
        <row r="832">
          <cell r="B832" t="str">
            <v>Avid Broadcast Video Board (NuBus Base Board - no Top)</v>
          </cell>
          <cell r="C832">
            <v>5248</v>
          </cell>
          <cell r="D832">
            <v>3900</v>
          </cell>
          <cell r="E832">
            <v>4800</v>
          </cell>
          <cell r="F832">
            <v>31500</v>
          </cell>
          <cell r="G832">
            <v>9400</v>
          </cell>
          <cell r="H832">
            <v>3300</v>
          </cell>
          <cell r="I832">
            <v>9300000</v>
          </cell>
          <cell r="J832">
            <v>800000</v>
          </cell>
        </row>
        <row r="833">
          <cell r="B833" t="str">
            <v>Avid Broadcast Video board with Analog Top card</v>
          </cell>
          <cell r="C833">
            <v>6100</v>
          </cell>
          <cell r="D833">
            <v>4600</v>
          </cell>
          <cell r="E833">
            <v>5600</v>
          </cell>
          <cell r="F833">
            <v>36700</v>
          </cell>
          <cell r="G833">
            <v>10900</v>
          </cell>
          <cell r="H833">
            <v>3900</v>
          </cell>
          <cell r="I833">
            <v>10800000</v>
          </cell>
          <cell r="J833">
            <v>930000</v>
          </cell>
        </row>
        <row r="834">
          <cell r="B834" t="str">
            <v>Avid Broadcast Video board with Serial Digit al Interface</v>
          </cell>
          <cell r="C834">
            <v>8200</v>
          </cell>
          <cell r="D834">
            <v>6200</v>
          </cell>
          <cell r="E834">
            <v>7500</v>
          </cell>
          <cell r="F834">
            <v>49300</v>
          </cell>
          <cell r="G834">
            <v>14700</v>
          </cell>
          <cell r="H834">
            <v>5200</v>
          </cell>
          <cell r="I834">
            <v>14500000</v>
          </cell>
          <cell r="J834">
            <v>1250000</v>
          </cell>
        </row>
        <row r="835">
          <cell r="B835" t="str">
            <v>Inc. Studio Base, Gasket, SDI &amp; cable</v>
          </cell>
          <cell r="C835">
            <v>13348</v>
          </cell>
          <cell r="D835">
            <v>10000</v>
          </cell>
          <cell r="E835">
            <v>12200</v>
          </cell>
          <cell r="F835">
            <v>80200</v>
          </cell>
          <cell r="G835">
            <v>23900</v>
          </cell>
          <cell r="H835">
            <v>8500</v>
          </cell>
          <cell r="I835">
            <v>23700000</v>
          </cell>
          <cell r="J835">
            <v>2030000</v>
          </cell>
        </row>
        <row r="836">
          <cell r="B836" t="str">
            <v>Avid Broadcast Video board with Serial Digital Interface and Cable</v>
          </cell>
          <cell r="C836">
            <v>8995</v>
          </cell>
          <cell r="D836">
            <v>6700</v>
          </cell>
          <cell r="E836">
            <v>8200</v>
          </cell>
          <cell r="F836">
            <v>54100</v>
          </cell>
          <cell r="G836">
            <v>16100</v>
          </cell>
          <cell r="H836">
            <v>5700</v>
          </cell>
          <cell r="I836">
            <v>16000000</v>
          </cell>
          <cell r="J836">
            <v>1370000</v>
          </cell>
        </row>
        <row r="837">
          <cell r="A837" t="str">
            <v>0010-03379-01</v>
          </cell>
          <cell r="B837" t="str">
            <v>Substitute Amadeus, 8*8, VSD, BBGen for AM III</v>
          </cell>
          <cell r="C837">
            <v>5575</v>
          </cell>
          <cell r="D837">
            <v>4200</v>
          </cell>
          <cell r="E837">
            <v>5100</v>
          </cell>
          <cell r="F837">
            <v>33500</v>
          </cell>
          <cell r="G837">
            <v>10000</v>
          </cell>
          <cell r="H837">
            <v>3500</v>
          </cell>
          <cell r="I837">
            <v>9900000</v>
          </cell>
          <cell r="J837">
            <v>850000</v>
          </cell>
        </row>
        <row r="838">
          <cell r="A838" t="str">
            <v>0010-03382-01</v>
          </cell>
          <cell r="B838" t="str">
            <v>Substitute 3D FX card for 2D on MC1000</v>
          </cell>
          <cell r="C838">
            <v>12995</v>
          </cell>
          <cell r="D838">
            <v>9700</v>
          </cell>
          <cell r="E838">
            <v>11900</v>
          </cell>
          <cell r="F838">
            <v>78100</v>
          </cell>
          <cell r="G838">
            <v>23300</v>
          </cell>
          <cell r="H838">
            <v>8200</v>
          </cell>
          <cell r="I838">
            <v>23100000</v>
          </cell>
          <cell r="J838">
            <v>1980000</v>
          </cell>
        </row>
        <row r="839">
          <cell r="A839" t="str">
            <v>0010-03378-01</v>
          </cell>
          <cell r="B839" t="str">
            <v>Substitute PCI ABVB Component IO with SDI</v>
          </cell>
          <cell r="C839">
            <v>1000</v>
          </cell>
          <cell r="D839">
            <v>750</v>
          </cell>
          <cell r="E839">
            <v>920</v>
          </cell>
          <cell r="F839">
            <v>6010</v>
          </cell>
          <cell r="G839">
            <v>1790</v>
          </cell>
          <cell r="H839">
            <v>630</v>
          </cell>
          <cell r="I839">
            <v>1774000</v>
          </cell>
          <cell r="J839">
            <v>152500</v>
          </cell>
        </row>
        <row r="840">
          <cell r="B840" t="str">
            <v>Avid Media Server Software DM</v>
          </cell>
          <cell r="C840">
            <v>50000</v>
          </cell>
          <cell r="D840">
            <v>37500</v>
          </cell>
          <cell r="E840">
            <v>45800</v>
          </cell>
          <cell r="F840">
            <v>300500</v>
          </cell>
          <cell r="G840">
            <v>89600</v>
          </cell>
          <cell r="H840">
            <v>31700</v>
          </cell>
          <cell r="I840">
            <v>88700000</v>
          </cell>
          <cell r="J840">
            <v>7620000</v>
          </cell>
        </row>
        <row r="841">
          <cell r="B841" t="str">
            <v>Avid Media Server Software XL &amp; Origin</v>
          </cell>
          <cell r="C841">
            <v>100000</v>
          </cell>
          <cell r="D841">
            <v>75000</v>
          </cell>
          <cell r="E841">
            <v>91600</v>
          </cell>
          <cell r="F841">
            <v>601000</v>
          </cell>
          <cell r="G841">
            <v>179200</v>
          </cell>
          <cell r="H841">
            <v>63400</v>
          </cell>
          <cell r="I841">
            <v>177400000</v>
          </cell>
          <cell r="J841">
            <v>15250000</v>
          </cell>
        </row>
        <row r="842">
          <cell r="B842" t="str">
            <v>Targa 1000Pro board (PCI) for use with MCXpressNT</v>
          </cell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G842">
            <v>0</v>
          </cell>
          <cell r="H842">
            <v>0</v>
          </cell>
          <cell r="I842">
            <v>0</v>
          </cell>
          <cell r="J842">
            <v>0</v>
          </cell>
        </row>
        <row r="843">
          <cell r="B843" t="str">
            <v>Targa 2000RTX board (PCI) for use with MCXpressNT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</row>
        <row r="844">
          <cell r="A844" t="str">
            <v>0070-00169-01</v>
          </cell>
          <cell r="B844" t="str">
            <v>68HD Terminator (Diff) (Red)</v>
          </cell>
          <cell r="C844">
            <v>45</v>
          </cell>
          <cell r="D844">
            <v>0</v>
          </cell>
          <cell r="E844">
            <v>0</v>
          </cell>
          <cell r="F844">
            <v>300</v>
          </cell>
          <cell r="G844">
            <v>100</v>
          </cell>
          <cell r="H844">
            <v>0</v>
          </cell>
          <cell r="I844">
            <v>100000</v>
          </cell>
          <cell r="J844">
            <v>10000</v>
          </cell>
        </row>
        <row r="845">
          <cell r="A845" t="str">
            <v>0070-00043-01</v>
          </cell>
          <cell r="B845" t="str">
            <v>Ultra Narrow Terminator (Blue)</v>
          </cell>
          <cell r="C845">
            <v>55</v>
          </cell>
          <cell r="D845">
            <v>40</v>
          </cell>
          <cell r="E845">
            <v>50</v>
          </cell>
          <cell r="F845">
            <v>330</v>
          </cell>
          <cell r="G845">
            <v>100</v>
          </cell>
          <cell r="H845">
            <v>30</v>
          </cell>
          <cell r="I845">
            <v>98000</v>
          </cell>
          <cell r="J845">
            <v>8400</v>
          </cell>
        </row>
        <row r="846">
          <cell r="A846" t="str">
            <v>0070-00042-01</v>
          </cell>
          <cell r="B846" t="str">
            <v>Ultra Wide Terminator (Blue)</v>
          </cell>
          <cell r="C846">
            <v>55</v>
          </cell>
          <cell r="D846">
            <v>40</v>
          </cell>
          <cell r="E846">
            <v>50</v>
          </cell>
          <cell r="F846">
            <v>330</v>
          </cell>
          <cell r="G846">
            <v>100</v>
          </cell>
          <cell r="H846">
            <v>30</v>
          </cell>
          <cell r="I846">
            <v>98000</v>
          </cell>
          <cell r="J846">
            <v>8400</v>
          </cell>
        </row>
        <row r="847">
          <cell r="B847" t="str">
            <v>Avid Media Server Programming Terminal for Challenge XL</v>
          </cell>
          <cell r="C847">
            <v>2750</v>
          </cell>
          <cell r="D847">
            <v>2100</v>
          </cell>
          <cell r="E847">
            <v>2500</v>
          </cell>
          <cell r="F847">
            <v>16500</v>
          </cell>
          <cell r="G847">
            <v>4900</v>
          </cell>
          <cell r="H847">
            <v>1700</v>
          </cell>
          <cell r="I847">
            <v>4900000</v>
          </cell>
          <cell r="J847">
            <v>420000</v>
          </cell>
        </row>
        <row r="848">
          <cell r="B848" t="str">
            <v>MicroLynx third machine expansion board</v>
          </cell>
          <cell r="C848">
            <v>1100</v>
          </cell>
          <cell r="D848">
            <v>830</v>
          </cell>
          <cell r="E848">
            <v>1010</v>
          </cell>
          <cell r="F848">
            <v>6610</v>
          </cell>
          <cell r="G848">
            <v>1970</v>
          </cell>
          <cell r="H848">
            <v>700</v>
          </cell>
          <cell r="I848">
            <v>1952000</v>
          </cell>
          <cell r="J848">
            <v>167700</v>
          </cell>
        </row>
        <row r="849">
          <cell r="B849" t="str">
            <v>3rd. Pty Uplift per client connected to the ATM switch</v>
          </cell>
          <cell r="C849">
            <v>800</v>
          </cell>
          <cell r="D849">
            <v>600</v>
          </cell>
          <cell r="E849">
            <v>730</v>
          </cell>
          <cell r="F849">
            <v>4810</v>
          </cell>
          <cell r="G849">
            <v>1430</v>
          </cell>
          <cell r="H849">
            <v>510</v>
          </cell>
          <cell r="I849">
            <v>1419000</v>
          </cell>
          <cell r="J849">
            <v>122000</v>
          </cell>
        </row>
        <row r="850">
          <cell r="B850" t="str">
            <v>Competitive Trade in Lightworks $12,000 Credit</v>
          </cell>
          <cell r="C850">
            <v>-12000</v>
          </cell>
          <cell r="D850">
            <v>-9000</v>
          </cell>
          <cell r="E850">
            <v>-11000</v>
          </cell>
          <cell r="F850">
            <v>-72100</v>
          </cell>
          <cell r="G850">
            <v>-21500</v>
          </cell>
          <cell r="H850">
            <v>-7600</v>
          </cell>
          <cell r="I850">
            <v>-21300000</v>
          </cell>
          <cell r="J850">
            <v>-1830000</v>
          </cell>
        </row>
        <row r="851">
          <cell r="B851" t="str">
            <v>Competitive Trade in Media100</v>
          </cell>
          <cell r="D851">
            <v>0</v>
          </cell>
          <cell r="E851">
            <v>0</v>
          </cell>
          <cell r="F851">
            <v>0</v>
          </cell>
          <cell r="G851">
            <v>0</v>
          </cell>
          <cell r="H851">
            <v>0</v>
          </cell>
          <cell r="I851">
            <v>0</v>
          </cell>
          <cell r="J851">
            <v>0</v>
          </cell>
        </row>
        <row r="852">
          <cell r="B852" t="str">
            <v>Competitive Trade in  Scitex Cube/Sphere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H852">
            <v>0</v>
          </cell>
          <cell r="I852">
            <v>0</v>
          </cell>
          <cell r="J852">
            <v>0</v>
          </cell>
        </row>
        <row r="853">
          <cell r="B853" t="str">
            <v>Competitive Trade in VTR up to 15% against 1K or 9K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</row>
        <row r="854">
          <cell r="B854" t="str">
            <v>In-Depth Media ComposerÀ Workshop : 5 days</v>
          </cell>
          <cell r="C854">
            <v>2125</v>
          </cell>
          <cell r="D854">
            <v>1600</v>
          </cell>
          <cell r="E854">
            <v>1900</v>
          </cell>
          <cell r="F854">
            <v>12800</v>
          </cell>
          <cell r="G854">
            <v>3800</v>
          </cell>
          <cell r="H854">
            <v>1300</v>
          </cell>
          <cell r="I854">
            <v>3800000</v>
          </cell>
          <cell r="J854">
            <v>320000</v>
          </cell>
        </row>
        <row r="855">
          <cell r="B855" t="str">
            <v>Introduction to Media Composer : 3 days</v>
          </cell>
          <cell r="C855">
            <v>1275</v>
          </cell>
          <cell r="D855">
            <v>960</v>
          </cell>
          <cell r="E855">
            <v>1170</v>
          </cell>
          <cell r="F855">
            <v>7660</v>
          </cell>
          <cell r="G855">
            <v>2280</v>
          </cell>
          <cell r="H855">
            <v>810</v>
          </cell>
          <cell r="I855">
            <v>2262000</v>
          </cell>
          <cell r="J855">
            <v>194400</v>
          </cell>
        </row>
        <row r="856">
          <cell r="B856" t="str">
            <v>Media Composer for Assistant Editors : 4 days</v>
          </cell>
          <cell r="C856">
            <v>1700</v>
          </cell>
          <cell r="D856">
            <v>1280</v>
          </cell>
          <cell r="E856">
            <v>1560</v>
          </cell>
          <cell r="F856">
            <v>10220</v>
          </cell>
          <cell r="G856">
            <v>3050</v>
          </cell>
          <cell r="H856">
            <v>1080</v>
          </cell>
          <cell r="I856">
            <v>3016000</v>
          </cell>
          <cell r="J856">
            <v>259200</v>
          </cell>
        </row>
        <row r="857">
          <cell r="B857" t="str">
            <v>Film Composer Overview: 1 day</v>
          </cell>
          <cell r="C857">
            <v>425</v>
          </cell>
          <cell r="D857">
            <v>320</v>
          </cell>
          <cell r="E857">
            <v>390</v>
          </cell>
          <cell r="F857">
            <v>2550</v>
          </cell>
          <cell r="G857">
            <v>760</v>
          </cell>
          <cell r="H857">
            <v>270</v>
          </cell>
          <cell r="I857">
            <v>754000</v>
          </cell>
          <cell r="J857">
            <v>64800</v>
          </cell>
        </row>
        <row r="858">
          <cell r="B858" t="str">
            <v>Media Composer for Producers : 1 day</v>
          </cell>
          <cell r="C858">
            <v>425</v>
          </cell>
          <cell r="D858">
            <v>320</v>
          </cell>
          <cell r="E858">
            <v>390</v>
          </cell>
          <cell r="F858">
            <v>2550</v>
          </cell>
          <cell r="G858">
            <v>760</v>
          </cell>
          <cell r="H858">
            <v>270</v>
          </cell>
          <cell r="I858">
            <v>754000</v>
          </cell>
          <cell r="J858">
            <v>64800</v>
          </cell>
        </row>
        <row r="859">
          <cell r="B859" t="str">
            <v>Introduction to Media Composer Effects : 1 day</v>
          </cell>
          <cell r="C859">
            <v>425</v>
          </cell>
          <cell r="D859">
            <v>320</v>
          </cell>
          <cell r="E859">
            <v>390</v>
          </cell>
          <cell r="F859">
            <v>2550</v>
          </cell>
          <cell r="G859">
            <v>760</v>
          </cell>
          <cell r="H859">
            <v>270</v>
          </cell>
          <cell r="I859">
            <v>754000</v>
          </cell>
          <cell r="J859">
            <v>64800</v>
          </cell>
        </row>
        <row r="860">
          <cell r="B860" t="str">
            <v>Introduction to Xpress Mac and NT : 3 days</v>
          </cell>
          <cell r="C860">
            <v>1275</v>
          </cell>
          <cell r="D860">
            <v>960</v>
          </cell>
          <cell r="E860">
            <v>1170</v>
          </cell>
          <cell r="F860">
            <v>7660</v>
          </cell>
          <cell r="G860">
            <v>2280</v>
          </cell>
          <cell r="H860">
            <v>810</v>
          </cell>
          <cell r="I860">
            <v>2262000</v>
          </cell>
          <cell r="J860">
            <v>194400</v>
          </cell>
        </row>
        <row r="861">
          <cell r="B861" t="str">
            <v>Introduction to MCXpress for Windows NT : 3 days</v>
          </cell>
          <cell r="C861">
            <v>1275</v>
          </cell>
          <cell r="D861">
            <v>960</v>
          </cell>
          <cell r="E861">
            <v>1170</v>
          </cell>
          <cell r="F861">
            <v>7660</v>
          </cell>
          <cell r="G861">
            <v>2280</v>
          </cell>
          <cell r="H861">
            <v>810</v>
          </cell>
          <cell r="I861">
            <v>2262000</v>
          </cell>
          <cell r="J861">
            <v>194400</v>
          </cell>
        </row>
        <row r="862">
          <cell r="B862" t="str">
            <v>Matador: Paint and Compositing : 5 days</v>
          </cell>
          <cell r="C862">
            <v>2125</v>
          </cell>
          <cell r="D862">
            <v>1600</v>
          </cell>
          <cell r="E862">
            <v>1900</v>
          </cell>
          <cell r="F862">
            <v>12800</v>
          </cell>
          <cell r="G862">
            <v>3800</v>
          </cell>
          <cell r="H862">
            <v>1300</v>
          </cell>
          <cell r="I862">
            <v>3800000</v>
          </cell>
          <cell r="J862">
            <v>320000</v>
          </cell>
        </row>
        <row r="863">
          <cell r="B863" t="str">
            <v>Introduction to Media Illusion : 5 days</v>
          </cell>
          <cell r="C863">
            <v>2125</v>
          </cell>
          <cell r="D863">
            <v>1600</v>
          </cell>
          <cell r="E863">
            <v>1900</v>
          </cell>
          <cell r="F863">
            <v>12800</v>
          </cell>
          <cell r="G863">
            <v>3800</v>
          </cell>
          <cell r="H863">
            <v>1300</v>
          </cell>
          <cell r="I863">
            <v>3800000</v>
          </cell>
          <cell r="J863">
            <v>320000</v>
          </cell>
        </row>
        <row r="864">
          <cell r="B864" t="str">
            <v>Introduction to NewsCutter Operations : 2 days</v>
          </cell>
          <cell r="C864">
            <v>850</v>
          </cell>
          <cell r="D864">
            <v>640</v>
          </cell>
          <cell r="E864">
            <v>780</v>
          </cell>
          <cell r="F864">
            <v>5110</v>
          </cell>
          <cell r="G864">
            <v>1520</v>
          </cell>
          <cell r="H864">
            <v>540</v>
          </cell>
          <cell r="I864">
            <v>1508000</v>
          </cell>
          <cell r="J864">
            <v>129600</v>
          </cell>
        </row>
        <row r="865">
          <cell r="B865" t="str">
            <v>AirPlay Operations : 2 days</v>
          </cell>
          <cell r="C865">
            <v>1275</v>
          </cell>
          <cell r="D865">
            <v>960</v>
          </cell>
          <cell r="E865">
            <v>1170</v>
          </cell>
          <cell r="F865">
            <v>7660</v>
          </cell>
          <cell r="G865">
            <v>2280</v>
          </cell>
          <cell r="H865">
            <v>810</v>
          </cell>
          <cell r="I865">
            <v>2262000</v>
          </cell>
          <cell r="J865">
            <v>194400</v>
          </cell>
        </row>
        <row r="866">
          <cell r="B866" t="str">
            <v>Introduction to AvidNews Workstation : 1 day</v>
          </cell>
          <cell r="C866">
            <v>425</v>
          </cell>
          <cell r="D866">
            <v>320</v>
          </cell>
          <cell r="E866">
            <v>390</v>
          </cell>
          <cell r="F866">
            <v>2550</v>
          </cell>
          <cell r="G866">
            <v>760</v>
          </cell>
          <cell r="H866">
            <v>270</v>
          </cell>
          <cell r="I866">
            <v>754000</v>
          </cell>
          <cell r="J866">
            <v>64800</v>
          </cell>
        </row>
        <row r="867">
          <cell r="B867" t="str">
            <v>Introduction to AvidNews Media System : 1 day</v>
          </cell>
          <cell r="C867">
            <v>425</v>
          </cell>
          <cell r="D867">
            <v>320</v>
          </cell>
          <cell r="E867">
            <v>390</v>
          </cell>
          <cell r="F867">
            <v>2550</v>
          </cell>
          <cell r="G867">
            <v>760</v>
          </cell>
          <cell r="H867">
            <v>270</v>
          </cell>
          <cell r="I867">
            <v>754000</v>
          </cell>
          <cell r="J867">
            <v>64800</v>
          </cell>
        </row>
        <row r="868">
          <cell r="B868" t="str">
            <v>Introduction to AvidNews Broadcast Control Network : 1 day</v>
          </cell>
          <cell r="C868">
            <v>425</v>
          </cell>
          <cell r="D868">
            <v>320</v>
          </cell>
          <cell r="E868">
            <v>390</v>
          </cell>
          <cell r="F868">
            <v>2550</v>
          </cell>
          <cell r="G868">
            <v>760</v>
          </cell>
          <cell r="H868">
            <v>270</v>
          </cell>
          <cell r="I868">
            <v>754000</v>
          </cell>
          <cell r="J868">
            <v>64800</v>
          </cell>
        </row>
        <row r="869">
          <cell r="B869" t="str">
            <v>Advanced Techniques for Media Composer : 2 days</v>
          </cell>
          <cell r="C869">
            <v>850</v>
          </cell>
          <cell r="D869">
            <v>640</v>
          </cell>
          <cell r="E869">
            <v>780</v>
          </cell>
          <cell r="F869">
            <v>5110</v>
          </cell>
          <cell r="G869">
            <v>1520</v>
          </cell>
          <cell r="H869">
            <v>540</v>
          </cell>
          <cell r="I869">
            <v>1508000</v>
          </cell>
          <cell r="J869">
            <v>129600</v>
          </cell>
        </row>
        <row r="870">
          <cell r="B870" t="str">
            <v>Media Composer Troubleshooting : 2 days</v>
          </cell>
          <cell r="C870">
            <v>850</v>
          </cell>
          <cell r="D870">
            <v>640</v>
          </cell>
          <cell r="E870">
            <v>780</v>
          </cell>
          <cell r="F870">
            <v>5110</v>
          </cell>
          <cell r="G870">
            <v>1520</v>
          </cell>
          <cell r="H870">
            <v>540</v>
          </cell>
          <cell r="I870">
            <v>1508000</v>
          </cell>
          <cell r="J870">
            <v>129600</v>
          </cell>
        </row>
        <row r="871">
          <cell r="B871" t="str">
            <v>AirPlay and NewsCutter Troubleshooting : 4 days</v>
          </cell>
          <cell r="C871">
            <v>1700</v>
          </cell>
          <cell r="D871">
            <v>1280</v>
          </cell>
          <cell r="E871">
            <v>1560</v>
          </cell>
          <cell r="F871">
            <v>10220</v>
          </cell>
          <cell r="G871">
            <v>3050</v>
          </cell>
          <cell r="H871">
            <v>1080</v>
          </cell>
          <cell r="I871">
            <v>3016000</v>
          </cell>
          <cell r="J871">
            <v>259200</v>
          </cell>
        </row>
        <row r="872">
          <cell r="B872" t="str">
            <v>Avid MediaServer Maintenance and Operations : 3 days</v>
          </cell>
          <cell r="C872">
            <v>1275</v>
          </cell>
          <cell r="D872">
            <v>960</v>
          </cell>
          <cell r="E872">
            <v>1170</v>
          </cell>
          <cell r="F872">
            <v>7660</v>
          </cell>
          <cell r="G872">
            <v>2280</v>
          </cell>
          <cell r="H872">
            <v>810</v>
          </cell>
          <cell r="I872">
            <v>2262000</v>
          </cell>
          <cell r="J872">
            <v>194400</v>
          </cell>
        </row>
        <row r="873">
          <cell r="B873" t="str">
            <v>AvidNews System Administration (UNIX) : 5 days</v>
          </cell>
          <cell r="C873">
            <v>2125</v>
          </cell>
          <cell r="D873">
            <v>1600</v>
          </cell>
          <cell r="E873">
            <v>1900</v>
          </cell>
          <cell r="F873">
            <v>12800</v>
          </cell>
          <cell r="G873">
            <v>3800</v>
          </cell>
          <cell r="H873">
            <v>1300</v>
          </cell>
          <cell r="I873">
            <v>3800000</v>
          </cell>
          <cell r="J873">
            <v>320000</v>
          </cell>
        </row>
        <row r="874">
          <cell r="B874" t="str">
            <v>Media Composer - Integrating Third-Party Graphics : 2 days</v>
          </cell>
          <cell r="C874">
            <v>850</v>
          </cell>
          <cell r="D874">
            <v>640</v>
          </cell>
          <cell r="E874">
            <v>780</v>
          </cell>
          <cell r="F874">
            <v>5110</v>
          </cell>
          <cell r="G874">
            <v>1520</v>
          </cell>
          <cell r="H874">
            <v>540</v>
          </cell>
          <cell r="I874">
            <v>1508000</v>
          </cell>
          <cell r="J874">
            <v>129600</v>
          </cell>
        </row>
        <row r="875">
          <cell r="B875" t="str">
            <v>Media Composer Effects : 2 days</v>
          </cell>
          <cell r="C875">
            <v>850</v>
          </cell>
          <cell r="D875">
            <v>640</v>
          </cell>
          <cell r="E875">
            <v>780</v>
          </cell>
          <cell r="F875">
            <v>5110</v>
          </cell>
          <cell r="G875">
            <v>1520</v>
          </cell>
          <cell r="H875">
            <v>540</v>
          </cell>
          <cell r="I875">
            <v>1508000</v>
          </cell>
          <cell r="J875">
            <v>129600</v>
          </cell>
        </row>
        <row r="876">
          <cell r="B876" t="str">
            <v>3D Effects on the Media Composer : 1 day</v>
          </cell>
          <cell r="C876">
            <v>425</v>
          </cell>
          <cell r="D876">
            <v>320</v>
          </cell>
          <cell r="E876">
            <v>390</v>
          </cell>
          <cell r="F876">
            <v>2550</v>
          </cell>
          <cell r="G876">
            <v>760</v>
          </cell>
          <cell r="H876">
            <v>270</v>
          </cell>
          <cell r="I876">
            <v>754000</v>
          </cell>
          <cell r="J876">
            <v>64800</v>
          </cell>
        </row>
        <row r="877">
          <cell r="B877" t="str">
            <v>Media Composer Graphics and Paint : 2 days</v>
          </cell>
          <cell r="C877">
            <v>850</v>
          </cell>
          <cell r="D877">
            <v>640</v>
          </cell>
          <cell r="E877">
            <v>780</v>
          </cell>
          <cell r="F877">
            <v>5110</v>
          </cell>
          <cell r="G877">
            <v>1520</v>
          </cell>
          <cell r="H877">
            <v>540</v>
          </cell>
          <cell r="I877">
            <v>1508000</v>
          </cell>
          <cell r="J877">
            <v>129600</v>
          </cell>
        </row>
        <row r="878">
          <cell r="B878" t="str">
            <v>System Support for Media Composer and Xpress-Mac : 4 days</v>
          </cell>
          <cell r="C878">
            <v>1700</v>
          </cell>
          <cell r="D878">
            <v>1280</v>
          </cell>
          <cell r="E878">
            <v>1560</v>
          </cell>
          <cell r="F878">
            <v>10220</v>
          </cell>
          <cell r="G878">
            <v>3050</v>
          </cell>
          <cell r="H878">
            <v>1080</v>
          </cell>
          <cell r="I878">
            <v>3016000</v>
          </cell>
          <cell r="J878">
            <v>259200</v>
          </cell>
        </row>
        <row r="879">
          <cell r="B879" t="str">
            <v>System Support for Symphony and Xpress-NT : 4 days</v>
          </cell>
          <cell r="C879">
            <v>1700</v>
          </cell>
          <cell r="D879">
            <v>1280</v>
          </cell>
          <cell r="E879">
            <v>1560</v>
          </cell>
          <cell r="F879">
            <v>10220</v>
          </cell>
          <cell r="G879">
            <v>3050</v>
          </cell>
          <cell r="H879">
            <v>1080</v>
          </cell>
          <cell r="I879">
            <v>3016000</v>
          </cell>
          <cell r="J879">
            <v>259200</v>
          </cell>
        </row>
        <row r="880">
          <cell r="B880" t="str">
            <v>Special Topics in Support : 2 days</v>
          </cell>
          <cell r="C880">
            <v>850</v>
          </cell>
          <cell r="D880">
            <v>640</v>
          </cell>
          <cell r="E880">
            <v>780</v>
          </cell>
          <cell r="F880">
            <v>5110</v>
          </cell>
          <cell r="G880">
            <v>1520</v>
          </cell>
          <cell r="H880">
            <v>540</v>
          </cell>
          <cell r="I880">
            <v>1508000</v>
          </cell>
          <cell r="J880">
            <v>129600</v>
          </cell>
        </row>
        <row r="881">
          <cell r="B881" t="str">
            <v>Avid NetStation -  Basic User (VT Interface) : 1day</v>
          </cell>
          <cell r="C881">
            <v>425</v>
          </cell>
          <cell r="D881">
            <v>320</v>
          </cell>
          <cell r="E881">
            <v>390</v>
          </cell>
          <cell r="F881">
            <v>2550</v>
          </cell>
          <cell r="G881">
            <v>760</v>
          </cell>
          <cell r="H881">
            <v>270</v>
          </cell>
          <cell r="I881">
            <v>754000</v>
          </cell>
          <cell r="J881">
            <v>64800</v>
          </cell>
        </row>
        <row r="882">
          <cell r="B882" t="str">
            <v>Avid NetStation - Advanced User (VT Interface): 1day</v>
          </cell>
          <cell r="C882">
            <v>425</v>
          </cell>
          <cell r="D882">
            <v>320</v>
          </cell>
          <cell r="E882">
            <v>390</v>
          </cell>
          <cell r="F882">
            <v>2550</v>
          </cell>
          <cell r="G882">
            <v>760</v>
          </cell>
          <cell r="H882">
            <v>270</v>
          </cell>
          <cell r="I882">
            <v>754000</v>
          </cell>
          <cell r="J882">
            <v>64800</v>
          </cell>
        </row>
        <row r="883">
          <cell r="B883" t="str">
            <v>Avid NetStation for Windows - Basic User Course : 1 day</v>
          </cell>
          <cell r="C883">
            <v>425</v>
          </cell>
          <cell r="D883">
            <v>320</v>
          </cell>
          <cell r="E883">
            <v>390</v>
          </cell>
          <cell r="F883">
            <v>2550</v>
          </cell>
          <cell r="G883">
            <v>760</v>
          </cell>
          <cell r="H883">
            <v>270</v>
          </cell>
          <cell r="I883">
            <v>754000</v>
          </cell>
          <cell r="J883">
            <v>64800</v>
          </cell>
        </row>
        <row r="884">
          <cell r="B884" t="str">
            <v>Avid NetStation for Windows - Advanced User Course : 1 day</v>
          </cell>
          <cell r="C884">
            <v>425</v>
          </cell>
          <cell r="D884">
            <v>320</v>
          </cell>
          <cell r="E884">
            <v>390</v>
          </cell>
          <cell r="F884">
            <v>2550</v>
          </cell>
          <cell r="G884">
            <v>760</v>
          </cell>
          <cell r="H884">
            <v>270</v>
          </cell>
          <cell r="I884">
            <v>754000</v>
          </cell>
          <cell r="J884">
            <v>64800</v>
          </cell>
        </row>
        <row r="885">
          <cell r="B885" t="str">
            <v>Avid NetStation - Database Design : 5 days</v>
          </cell>
          <cell r="C885">
            <v>2125</v>
          </cell>
          <cell r="D885">
            <v>1600</v>
          </cell>
          <cell r="E885">
            <v>1900</v>
          </cell>
          <cell r="F885">
            <v>12800</v>
          </cell>
          <cell r="G885">
            <v>3800</v>
          </cell>
          <cell r="H885">
            <v>1300</v>
          </cell>
          <cell r="I885">
            <v>3800000</v>
          </cell>
          <cell r="J885">
            <v>320000</v>
          </cell>
        </row>
        <row r="886">
          <cell r="B886" t="str">
            <v>Avid NetStation- Database Management : 5 days</v>
          </cell>
          <cell r="C886">
            <v>2125</v>
          </cell>
          <cell r="D886">
            <v>1600</v>
          </cell>
          <cell r="E886">
            <v>1900</v>
          </cell>
          <cell r="F886">
            <v>12800</v>
          </cell>
          <cell r="G886">
            <v>3800</v>
          </cell>
          <cell r="H886">
            <v>1300</v>
          </cell>
          <cell r="I886">
            <v>3800000</v>
          </cell>
          <cell r="J886">
            <v>320000</v>
          </cell>
        </row>
        <row r="887">
          <cell r="B887" t="str">
            <v>Avid NetStation - Technical Management : 5 days</v>
          </cell>
          <cell r="C887">
            <v>2125</v>
          </cell>
          <cell r="D887">
            <v>1600</v>
          </cell>
          <cell r="E887">
            <v>1900</v>
          </cell>
          <cell r="F887">
            <v>12800</v>
          </cell>
          <cell r="G887">
            <v>3800</v>
          </cell>
          <cell r="H887">
            <v>1300</v>
          </cell>
          <cell r="I887">
            <v>3800000</v>
          </cell>
          <cell r="J887">
            <v>320000</v>
          </cell>
        </row>
        <row r="888">
          <cell r="B888" t="str">
            <v>Media Server System Administration Course : 2 days</v>
          </cell>
          <cell r="C888">
            <v>850</v>
          </cell>
          <cell r="D888">
            <v>640</v>
          </cell>
          <cell r="E888">
            <v>780</v>
          </cell>
          <cell r="F888">
            <v>5110</v>
          </cell>
          <cell r="G888">
            <v>1520</v>
          </cell>
          <cell r="H888">
            <v>540</v>
          </cell>
          <cell r="I888">
            <v>1508000</v>
          </cell>
          <cell r="J888">
            <v>129600</v>
          </cell>
        </row>
        <row r="889">
          <cell r="B889" t="str">
            <v>Training - DS 5 days (Avid location)</v>
          </cell>
          <cell r="C889">
            <v>2125</v>
          </cell>
          <cell r="D889">
            <v>1600</v>
          </cell>
          <cell r="E889">
            <v>1900</v>
          </cell>
          <cell r="F889">
            <v>12800</v>
          </cell>
          <cell r="G889">
            <v>3800</v>
          </cell>
          <cell r="H889">
            <v>1300</v>
          </cell>
          <cell r="I889">
            <v>3800000</v>
          </cell>
          <cell r="J889">
            <v>320000</v>
          </cell>
        </row>
        <row r="890">
          <cell r="B890" t="str">
            <v>ACSR Package - Consists of 101, 102, 110, 201, 400 : 13 days</v>
          </cell>
          <cell r="C890">
            <v>4475</v>
          </cell>
          <cell r="D890">
            <v>3400</v>
          </cell>
          <cell r="E890">
            <v>4100</v>
          </cell>
          <cell r="F890">
            <v>26900</v>
          </cell>
          <cell r="G890">
            <v>8000</v>
          </cell>
          <cell r="H890">
            <v>2800</v>
          </cell>
          <cell r="I890">
            <v>7900000</v>
          </cell>
          <cell r="J890">
            <v>680000</v>
          </cell>
        </row>
        <row r="891">
          <cell r="B891" t="str">
            <v>Train the Trainer - consists of 101, T3-101 : 8 days</v>
          </cell>
          <cell r="C891">
            <v>2875</v>
          </cell>
          <cell r="D891">
            <v>2200</v>
          </cell>
          <cell r="E891">
            <v>2600</v>
          </cell>
          <cell r="F891">
            <v>17300</v>
          </cell>
          <cell r="G891">
            <v>5200</v>
          </cell>
          <cell r="H891">
            <v>1800</v>
          </cell>
          <cell r="I891">
            <v>5100000</v>
          </cell>
          <cell r="J891">
            <v>440000</v>
          </cell>
        </row>
        <row r="892">
          <cell r="B892" t="str">
            <v>Train-the-Trainer: 101 Media Composer Editing : 5 days</v>
          </cell>
          <cell r="C892">
            <v>2125</v>
          </cell>
          <cell r="D892">
            <v>1600</v>
          </cell>
          <cell r="E892">
            <v>1900</v>
          </cell>
          <cell r="F892">
            <v>12800</v>
          </cell>
          <cell r="G892">
            <v>3800</v>
          </cell>
          <cell r="H892">
            <v>1300</v>
          </cell>
          <cell r="I892">
            <v>3800000</v>
          </cell>
          <cell r="J892">
            <v>320000</v>
          </cell>
        </row>
        <row r="893">
          <cell r="B893" t="str">
            <v>In-Depth Media ComposerÀ Workshop : 5 days</v>
          </cell>
          <cell r="C893">
            <v>8500</v>
          </cell>
          <cell r="D893">
            <v>6400</v>
          </cell>
          <cell r="E893">
            <v>7800</v>
          </cell>
          <cell r="F893">
            <v>51100</v>
          </cell>
          <cell r="G893">
            <v>15200</v>
          </cell>
          <cell r="H893">
            <v>5400</v>
          </cell>
          <cell r="I893">
            <v>15100000</v>
          </cell>
          <cell r="J893">
            <v>1300000</v>
          </cell>
        </row>
        <row r="894">
          <cell r="B894" t="str">
            <v>Introduction to Media Composer : 3 days</v>
          </cell>
          <cell r="C894">
            <v>5100</v>
          </cell>
          <cell r="D894">
            <v>3800</v>
          </cell>
          <cell r="E894">
            <v>4700</v>
          </cell>
          <cell r="F894">
            <v>30700</v>
          </cell>
          <cell r="G894">
            <v>9100</v>
          </cell>
          <cell r="H894">
            <v>3200</v>
          </cell>
          <cell r="I894">
            <v>9000000</v>
          </cell>
          <cell r="J894">
            <v>780000</v>
          </cell>
        </row>
        <row r="895">
          <cell r="B895" t="str">
            <v>Media Composer for Assistant Editors : 3 days</v>
          </cell>
          <cell r="C895">
            <v>6800</v>
          </cell>
          <cell r="D895">
            <v>5100</v>
          </cell>
          <cell r="E895">
            <v>6200</v>
          </cell>
          <cell r="F895">
            <v>40900</v>
          </cell>
          <cell r="G895">
            <v>12200</v>
          </cell>
          <cell r="H895">
            <v>4300</v>
          </cell>
          <cell r="I895">
            <v>12100000</v>
          </cell>
          <cell r="J895">
            <v>1040000</v>
          </cell>
        </row>
        <row r="896">
          <cell r="B896" t="str">
            <v>Film Composer Overview : 1 day</v>
          </cell>
          <cell r="C896">
            <v>1700</v>
          </cell>
          <cell r="D896">
            <v>1280</v>
          </cell>
          <cell r="E896">
            <v>1560</v>
          </cell>
          <cell r="F896">
            <v>10220</v>
          </cell>
          <cell r="G896">
            <v>3050</v>
          </cell>
          <cell r="H896">
            <v>1080</v>
          </cell>
          <cell r="I896">
            <v>3016000</v>
          </cell>
          <cell r="J896">
            <v>259200</v>
          </cell>
        </row>
        <row r="897">
          <cell r="B897" t="str">
            <v>Media Composer for Producers : 1 day</v>
          </cell>
          <cell r="C897">
            <v>1700</v>
          </cell>
          <cell r="D897">
            <v>1280</v>
          </cell>
          <cell r="E897">
            <v>1560</v>
          </cell>
          <cell r="F897">
            <v>10220</v>
          </cell>
          <cell r="G897">
            <v>3050</v>
          </cell>
          <cell r="H897">
            <v>1080</v>
          </cell>
          <cell r="I897">
            <v>3016000</v>
          </cell>
          <cell r="J897">
            <v>259200</v>
          </cell>
        </row>
        <row r="898">
          <cell r="B898" t="str">
            <v>Introduction to Media Composer Effects : 1 day</v>
          </cell>
          <cell r="C898">
            <v>1700</v>
          </cell>
          <cell r="D898">
            <v>1280</v>
          </cell>
          <cell r="E898">
            <v>1560</v>
          </cell>
          <cell r="F898">
            <v>10220</v>
          </cell>
          <cell r="G898">
            <v>3050</v>
          </cell>
          <cell r="H898">
            <v>1080</v>
          </cell>
          <cell r="I898">
            <v>3016000</v>
          </cell>
          <cell r="J898">
            <v>259200</v>
          </cell>
        </row>
        <row r="899">
          <cell r="B899" t="str">
            <v>Introduction to Xpress Mac and NT: 3 days</v>
          </cell>
          <cell r="C899">
            <v>5100</v>
          </cell>
          <cell r="D899">
            <v>3800</v>
          </cell>
          <cell r="E899">
            <v>4700</v>
          </cell>
          <cell r="F899">
            <v>30700</v>
          </cell>
          <cell r="G899">
            <v>9100</v>
          </cell>
          <cell r="H899">
            <v>3200</v>
          </cell>
          <cell r="I899">
            <v>9000000</v>
          </cell>
          <cell r="J899">
            <v>780000</v>
          </cell>
        </row>
        <row r="900">
          <cell r="B900" t="str">
            <v>Introduction to MCXpress for Windows NT : 3 days</v>
          </cell>
          <cell r="C900">
            <v>3400</v>
          </cell>
          <cell r="D900">
            <v>2600</v>
          </cell>
          <cell r="E900">
            <v>3100</v>
          </cell>
          <cell r="F900">
            <v>20400</v>
          </cell>
          <cell r="G900">
            <v>6100</v>
          </cell>
          <cell r="H900">
            <v>2200</v>
          </cell>
          <cell r="I900">
            <v>6000000</v>
          </cell>
          <cell r="J900">
            <v>520000</v>
          </cell>
        </row>
        <row r="901">
          <cell r="B901" t="str">
            <v>Matador: Paint and Compositing : 5 days</v>
          </cell>
          <cell r="C901">
            <v>8500</v>
          </cell>
          <cell r="D901">
            <v>6400</v>
          </cell>
          <cell r="E901">
            <v>7800</v>
          </cell>
          <cell r="F901">
            <v>51100</v>
          </cell>
          <cell r="G901">
            <v>15200</v>
          </cell>
          <cell r="H901">
            <v>5400</v>
          </cell>
          <cell r="I901">
            <v>15100000</v>
          </cell>
          <cell r="J901">
            <v>1300000</v>
          </cell>
        </row>
        <row r="902">
          <cell r="B902" t="str">
            <v>Introduction to Media Illusion : 5 days</v>
          </cell>
          <cell r="C902">
            <v>8500</v>
          </cell>
          <cell r="D902">
            <v>6400</v>
          </cell>
          <cell r="E902">
            <v>7800</v>
          </cell>
          <cell r="F902">
            <v>51100</v>
          </cell>
          <cell r="G902">
            <v>15200</v>
          </cell>
          <cell r="H902">
            <v>5400</v>
          </cell>
          <cell r="I902">
            <v>15100000</v>
          </cell>
          <cell r="J902">
            <v>1300000</v>
          </cell>
        </row>
        <row r="903">
          <cell r="B903" t="str">
            <v>Introduction to NewsCutter Operations : 2 days</v>
          </cell>
          <cell r="C903">
            <v>3400</v>
          </cell>
          <cell r="D903">
            <v>2600</v>
          </cell>
          <cell r="E903">
            <v>3100</v>
          </cell>
          <cell r="F903">
            <v>20400</v>
          </cell>
          <cell r="G903">
            <v>6100</v>
          </cell>
          <cell r="H903">
            <v>2200</v>
          </cell>
          <cell r="I903">
            <v>6000000</v>
          </cell>
          <cell r="J903">
            <v>520000</v>
          </cell>
        </row>
        <row r="904">
          <cell r="B904" t="str">
            <v>AirPlay Operations : 2 days</v>
          </cell>
          <cell r="C904">
            <v>5100</v>
          </cell>
          <cell r="D904">
            <v>3800</v>
          </cell>
          <cell r="E904">
            <v>4700</v>
          </cell>
          <cell r="F904">
            <v>30700</v>
          </cell>
          <cell r="G904">
            <v>9100</v>
          </cell>
          <cell r="H904">
            <v>3200</v>
          </cell>
          <cell r="I904">
            <v>9000000</v>
          </cell>
          <cell r="J904">
            <v>780000</v>
          </cell>
        </row>
        <row r="905">
          <cell r="B905" t="str">
            <v>Introduction to AvidNews Workstation : 1 day</v>
          </cell>
          <cell r="C905">
            <v>1700</v>
          </cell>
          <cell r="D905">
            <v>1280</v>
          </cell>
          <cell r="E905">
            <v>1560</v>
          </cell>
          <cell r="F905">
            <v>10220</v>
          </cell>
          <cell r="G905">
            <v>3050</v>
          </cell>
          <cell r="H905">
            <v>1080</v>
          </cell>
          <cell r="I905">
            <v>3016000</v>
          </cell>
          <cell r="J905">
            <v>259200</v>
          </cell>
        </row>
        <row r="906">
          <cell r="B906" t="str">
            <v>Introduction to AvidNews Media System : 1 day</v>
          </cell>
          <cell r="C906">
            <v>1700</v>
          </cell>
          <cell r="D906">
            <v>1280</v>
          </cell>
          <cell r="E906">
            <v>1560</v>
          </cell>
          <cell r="F906">
            <v>10220</v>
          </cell>
          <cell r="G906">
            <v>3050</v>
          </cell>
          <cell r="H906">
            <v>1080</v>
          </cell>
          <cell r="I906">
            <v>3016000</v>
          </cell>
          <cell r="J906">
            <v>259200</v>
          </cell>
        </row>
        <row r="907">
          <cell r="B907" t="str">
            <v>Introduction to AvidNews Broadcast Control Network (available in Q4 1998) : 1 day</v>
          </cell>
          <cell r="C907">
            <v>1700</v>
          </cell>
          <cell r="D907">
            <v>1280</v>
          </cell>
          <cell r="E907">
            <v>1560</v>
          </cell>
          <cell r="F907">
            <v>10220</v>
          </cell>
          <cell r="G907">
            <v>3050</v>
          </cell>
          <cell r="H907">
            <v>1080</v>
          </cell>
          <cell r="I907">
            <v>3016000</v>
          </cell>
          <cell r="J907">
            <v>259200</v>
          </cell>
        </row>
        <row r="908">
          <cell r="B908" t="str">
            <v>Advanced Techniques for Media Composer : 2 days</v>
          </cell>
          <cell r="C908">
            <v>3400</v>
          </cell>
          <cell r="D908">
            <v>2600</v>
          </cell>
          <cell r="E908">
            <v>3100</v>
          </cell>
          <cell r="F908">
            <v>20400</v>
          </cell>
          <cell r="G908">
            <v>6100</v>
          </cell>
          <cell r="H908">
            <v>2200</v>
          </cell>
          <cell r="I908">
            <v>6000000</v>
          </cell>
          <cell r="J908">
            <v>520000</v>
          </cell>
        </row>
        <row r="909">
          <cell r="B909" t="str">
            <v>Media Composer Troubleshooting : 2 days</v>
          </cell>
          <cell r="C909">
            <v>3400</v>
          </cell>
          <cell r="D909">
            <v>2600</v>
          </cell>
          <cell r="E909">
            <v>3100</v>
          </cell>
          <cell r="F909">
            <v>20400</v>
          </cell>
          <cell r="G909">
            <v>6100</v>
          </cell>
          <cell r="H909">
            <v>2200</v>
          </cell>
          <cell r="I909">
            <v>6000000</v>
          </cell>
          <cell r="J909">
            <v>520000</v>
          </cell>
        </row>
        <row r="910">
          <cell r="B910" t="str">
            <v>AirPlay and NewsCutter Troubleshooting : 4 days</v>
          </cell>
          <cell r="C910">
            <v>6800</v>
          </cell>
          <cell r="D910">
            <v>5100</v>
          </cell>
          <cell r="E910">
            <v>6200</v>
          </cell>
          <cell r="F910">
            <v>40900</v>
          </cell>
          <cell r="G910">
            <v>12200</v>
          </cell>
          <cell r="H910">
            <v>4300</v>
          </cell>
          <cell r="I910">
            <v>12100000</v>
          </cell>
          <cell r="J910">
            <v>1040000</v>
          </cell>
        </row>
        <row r="911">
          <cell r="B911" t="str">
            <v>Avid MediaServer Maintenance and Operations : 3 Days</v>
          </cell>
          <cell r="C911">
            <v>5100</v>
          </cell>
          <cell r="D911">
            <v>3800</v>
          </cell>
          <cell r="E911">
            <v>4700</v>
          </cell>
          <cell r="F911">
            <v>30700</v>
          </cell>
          <cell r="G911">
            <v>9100</v>
          </cell>
          <cell r="H911">
            <v>3200</v>
          </cell>
          <cell r="I911">
            <v>9000000</v>
          </cell>
          <cell r="J911">
            <v>780000</v>
          </cell>
        </row>
        <row r="912">
          <cell r="B912" t="str">
            <v>AvidNews System Administration (UNIX) : 5 days</v>
          </cell>
          <cell r="C912">
            <v>8500</v>
          </cell>
          <cell r="D912">
            <v>6400</v>
          </cell>
          <cell r="E912">
            <v>7800</v>
          </cell>
          <cell r="F912">
            <v>51100</v>
          </cell>
          <cell r="G912">
            <v>15200</v>
          </cell>
          <cell r="H912">
            <v>5400</v>
          </cell>
          <cell r="I912">
            <v>15100000</v>
          </cell>
          <cell r="J912">
            <v>1300000</v>
          </cell>
        </row>
        <row r="913">
          <cell r="B913" t="str">
            <v>Media Composer - Integrating Third-Party Graphics : 2 days</v>
          </cell>
          <cell r="C913">
            <v>3400</v>
          </cell>
          <cell r="D913">
            <v>2600</v>
          </cell>
          <cell r="E913">
            <v>3100</v>
          </cell>
          <cell r="F913">
            <v>20400</v>
          </cell>
          <cell r="G913">
            <v>6100</v>
          </cell>
          <cell r="H913">
            <v>2200</v>
          </cell>
          <cell r="I913">
            <v>6000000</v>
          </cell>
          <cell r="J913">
            <v>520000</v>
          </cell>
        </row>
        <row r="914">
          <cell r="B914" t="str">
            <v>Media Composer Effects : 2 days</v>
          </cell>
          <cell r="C914">
            <v>3400</v>
          </cell>
          <cell r="D914">
            <v>2600</v>
          </cell>
          <cell r="E914">
            <v>3100</v>
          </cell>
          <cell r="F914">
            <v>20400</v>
          </cell>
          <cell r="G914">
            <v>6100</v>
          </cell>
          <cell r="H914">
            <v>2200</v>
          </cell>
          <cell r="I914">
            <v>6000000</v>
          </cell>
          <cell r="J914">
            <v>520000</v>
          </cell>
        </row>
        <row r="915">
          <cell r="B915" t="str">
            <v>3D Effects on the Media Composer : 1 day</v>
          </cell>
          <cell r="C915">
            <v>1700</v>
          </cell>
          <cell r="D915">
            <v>1280</v>
          </cell>
          <cell r="E915">
            <v>1560</v>
          </cell>
          <cell r="F915">
            <v>10220</v>
          </cell>
          <cell r="G915">
            <v>3050</v>
          </cell>
          <cell r="H915">
            <v>1080</v>
          </cell>
          <cell r="I915">
            <v>3016000</v>
          </cell>
          <cell r="J915">
            <v>259200</v>
          </cell>
        </row>
        <row r="916">
          <cell r="B916" t="str">
            <v>Media Composer Graphics and Paint: 2 days</v>
          </cell>
          <cell r="C916">
            <v>3400</v>
          </cell>
          <cell r="D916">
            <v>2600</v>
          </cell>
          <cell r="E916">
            <v>3100</v>
          </cell>
          <cell r="F916">
            <v>20400</v>
          </cell>
          <cell r="G916">
            <v>6100</v>
          </cell>
          <cell r="H916">
            <v>2200</v>
          </cell>
          <cell r="I916">
            <v>6000000</v>
          </cell>
          <cell r="J916">
            <v>520000</v>
          </cell>
        </row>
        <row r="917">
          <cell r="B917" t="str">
            <v>System Support for Media Composer and Xpress-Mac: 4 days</v>
          </cell>
          <cell r="C917">
            <v>6800</v>
          </cell>
          <cell r="D917">
            <v>5100</v>
          </cell>
          <cell r="E917">
            <v>6200</v>
          </cell>
          <cell r="F917">
            <v>40900</v>
          </cell>
          <cell r="G917">
            <v>12200</v>
          </cell>
          <cell r="H917">
            <v>4300</v>
          </cell>
          <cell r="I917">
            <v>12100000</v>
          </cell>
          <cell r="J917">
            <v>1040000</v>
          </cell>
        </row>
        <row r="918">
          <cell r="B918" t="str">
            <v>System Support for Symphony and Xpress-NT : 4 days</v>
          </cell>
          <cell r="C918">
            <v>6800</v>
          </cell>
          <cell r="D918">
            <v>5100</v>
          </cell>
          <cell r="E918">
            <v>6200</v>
          </cell>
          <cell r="F918">
            <v>40900</v>
          </cell>
          <cell r="G918">
            <v>12200</v>
          </cell>
          <cell r="H918">
            <v>4300</v>
          </cell>
          <cell r="I918">
            <v>12100000</v>
          </cell>
          <cell r="J918">
            <v>1040000</v>
          </cell>
        </row>
        <row r="919">
          <cell r="B919" t="str">
            <v>Special Topics in Support : 2 days</v>
          </cell>
          <cell r="C919">
            <v>3400</v>
          </cell>
          <cell r="D919">
            <v>2600</v>
          </cell>
          <cell r="E919">
            <v>3100</v>
          </cell>
          <cell r="F919">
            <v>20400</v>
          </cell>
          <cell r="G919">
            <v>6100</v>
          </cell>
          <cell r="H919">
            <v>2200</v>
          </cell>
          <cell r="I919">
            <v>6000000</v>
          </cell>
          <cell r="J919">
            <v>520000</v>
          </cell>
        </row>
        <row r="920">
          <cell r="B920" t="str">
            <v>Avid NetStation -  Basic User (VT Interface) : 1day</v>
          </cell>
          <cell r="C920">
            <v>1700</v>
          </cell>
          <cell r="D920">
            <v>1280</v>
          </cell>
          <cell r="E920">
            <v>1560</v>
          </cell>
          <cell r="F920">
            <v>10220</v>
          </cell>
          <cell r="G920">
            <v>3050</v>
          </cell>
          <cell r="H920">
            <v>1080</v>
          </cell>
          <cell r="I920">
            <v>3016000</v>
          </cell>
          <cell r="J920">
            <v>259200</v>
          </cell>
        </row>
        <row r="921">
          <cell r="B921" t="str">
            <v>Avid NetStation - Advanced User (VT Interface): 1day</v>
          </cell>
          <cell r="C921">
            <v>1700</v>
          </cell>
          <cell r="D921">
            <v>1280</v>
          </cell>
          <cell r="E921">
            <v>1560</v>
          </cell>
          <cell r="F921">
            <v>10220</v>
          </cell>
          <cell r="G921">
            <v>3050</v>
          </cell>
          <cell r="H921">
            <v>1080</v>
          </cell>
          <cell r="I921">
            <v>3016000</v>
          </cell>
          <cell r="J921">
            <v>259200</v>
          </cell>
        </row>
        <row r="922">
          <cell r="B922" t="str">
            <v>Avid NetStation for Windows - Basic User Course : 1 day</v>
          </cell>
          <cell r="C922">
            <v>1700</v>
          </cell>
          <cell r="D922">
            <v>1280</v>
          </cell>
          <cell r="E922">
            <v>1560</v>
          </cell>
          <cell r="F922">
            <v>10220</v>
          </cell>
          <cell r="G922">
            <v>3050</v>
          </cell>
          <cell r="H922">
            <v>1080</v>
          </cell>
          <cell r="I922">
            <v>3016000</v>
          </cell>
          <cell r="J922">
            <v>259200</v>
          </cell>
        </row>
        <row r="923">
          <cell r="B923" t="str">
            <v>Avid NetStation for Windows - Advanced User Course : 1 day</v>
          </cell>
          <cell r="C923">
            <v>1700</v>
          </cell>
          <cell r="D923">
            <v>1280</v>
          </cell>
          <cell r="E923">
            <v>1560</v>
          </cell>
          <cell r="F923">
            <v>10220</v>
          </cell>
          <cell r="G923">
            <v>3050</v>
          </cell>
          <cell r="H923">
            <v>1080</v>
          </cell>
          <cell r="I923">
            <v>3016000</v>
          </cell>
          <cell r="J923">
            <v>259200</v>
          </cell>
        </row>
        <row r="924">
          <cell r="B924" t="str">
            <v>Avid Netstation for Windows-System User:1 day</v>
          </cell>
          <cell r="C924">
            <v>1700</v>
          </cell>
          <cell r="D924">
            <v>1280</v>
          </cell>
          <cell r="E924">
            <v>1560</v>
          </cell>
          <cell r="F924">
            <v>10220</v>
          </cell>
          <cell r="G924">
            <v>3050</v>
          </cell>
          <cell r="H924">
            <v>1080</v>
          </cell>
          <cell r="I924">
            <v>3016000</v>
          </cell>
          <cell r="J924">
            <v>259200</v>
          </cell>
        </row>
        <row r="925">
          <cell r="B925" t="str">
            <v>Avid NetStation - Database Design : 5 days</v>
          </cell>
          <cell r="C925">
            <v>8500</v>
          </cell>
          <cell r="D925">
            <v>6400</v>
          </cell>
          <cell r="E925">
            <v>7800</v>
          </cell>
          <cell r="F925">
            <v>51100</v>
          </cell>
          <cell r="G925">
            <v>15200</v>
          </cell>
          <cell r="H925">
            <v>5400</v>
          </cell>
          <cell r="I925">
            <v>15100000</v>
          </cell>
          <cell r="J925">
            <v>1300000</v>
          </cell>
        </row>
        <row r="926">
          <cell r="B926" t="str">
            <v>Avid NetStation - Database Management : 5 days</v>
          </cell>
          <cell r="C926">
            <v>8500</v>
          </cell>
          <cell r="D926">
            <v>6400</v>
          </cell>
          <cell r="E926">
            <v>7800</v>
          </cell>
          <cell r="F926">
            <v>51100</v>
          </cell>
          <cell r="G926">
            <v>15200</v>
          </cell>
          <cell r="H926">
            <v>5400</v>
          </cell>
          <cell r="I926">
            <v>15100000</v>
          </cell>
          <cell r="J926">
            <v>1300000</v>
          </cell>
        </row>
        <row r="927">
          <cell r="B927" t="str">
            <v>Avid NetStation - Technical Management : 5 days</v>
          </cell>
          <cell r="C927">
            <v>8500</v>
          </cell>
          <cell r="D927">
            <v>6400</v>
          </cell>
          <cell r="E927">
            <v>7800</v>
          </cell>
          <cell r="F927">
            <v>51100</v>
          </cell>
          <cell r="G927">
            <v>15200</v>
          </cell>
          <cell r="H927">
            <v>5400</v>
          </cell>
          <cell r="I927">
            <v>15100000</v>
          </cell>
          <cell r="J927">
            <v>1300000</v>
          </cell>
        </row>
        <row r="928">
          <cell r="B928" t="str">
            <v>Media Server System Administration Course : 2 days</v>
          </cell>
          <cell r="C928">
            <v>3400</v>
          </cell>
          <cell r="D928">
            <v>2600</v>
          </cell>
          <cell r="E928">
            <v>3100</v>
          </cell>
          <cell r="F928">
            <v>20400</v>
          </cell>
          <cell r="G928">
            <v>6100</v>
          </cell>
          <cell r="H928">
            <v>2200</v>
          </cell>
          <cell r="I928">
            <v>6000000</v>
          </cell>
          <cell r="J928">
            <v>520000</v>
          </cell>
        </row>
        <row r="929">
          <cell r="B929" t="str">
            <v>Training - DS 5 days (On site)</v>
          </cell>
          <cell r="C929">
            <v>8500</v>
          </cell>
          <cell r="D929">
            <v>6400</v>
          </cell>
          <cell r="E929">
            <v>7500</v>
          </cell>
          <cell r="F929">
            <v>51000</v>
          </cell>
          <cell r="G929">
            <v>15300</v>
          </cell>
          <cell r="H929">
            <v>5400</v>
          </cell>
          <cell r="I929">
            <v>14900000</v>
          </cell>
          <cell r="J929">
            <v>1280000</v>
          </cell>
        </row>
        <row r="930">
          <cell r="B930" t="str">
            <v>Train-the-Trainer: 101 Media Composer Editing : 5 days</v>
          </cell>
          <cell r="C930">
            <v>8500</v>
          </cell>
          <cell r="D930">
            <v>6400</v>
          </cell>
          <cell r="E930">
            <v>7500</v>
          </cell>
          <cell r="F930">
            <v>51000</v>
          </cell>
          <cell r="G930">
            <v>15300</v>
          </cell>
          <cell r="H930">
            <v>5400</v>
          </cell>
          <cell r="I930">
            <v>14900000</v>
          </cell>
          <cell r="J930">
            <v>1280000</v>
          </cell>
        </row>
        <row r="931">
          <cell r="B931" t="str">
            <v>Tutorial Tapes &amp; Documentation</v>
          </cell>
          <cell r="C931">
            <v>100</v>
          </cell>
          <cell r="D931">
            <v>80</v>
          </cell>
          <cell r="E931">
            <v>90</v>
          </cell>
          <cell r="F931">
            <v>580</v>
          </cell>
          <cell r="G931">
            <v>170</v>
          </cell>
          <cell r="H931">
            <v>60</v>
          </cell>
          <cell r="I931">
            <v>172000</v>
          </cell>
          <cell r="J931">
            <v>14800</v>
          </cell>
        </row>
        <row r="932">
          <cell r="A932" t="str">
            <v>0010-00857-02</v>
          </cell>
          <cell r="B932" t="str">
            <v>Transjammer AVX software plug-ins, on-line doc &amp; serial #</v>
          </cell>
          <cell r="C932">
            <v>199</v>
          </cell>
          <cell r="D932">
            <v>150</v>
          </cell>
          <cell r="E932">
            <v>180</v>
          </cell>
          <cell r="F932">
            <v>1200</v>
          </cell>
          <cell r="G932">
            <v>360</v>
          </cell>
          <cell r="H932">
            <v>130</v>
          </cell>
          <cell r="I932">
            <v>353000</v>
          </cell>
          <cell r="J932">
            <v>30300</v>
          </cell>
        </row>
        <row r="933">
          <cell r="A933" t="str">
            <v>0010-00859-02</v>
          </cell>
          <cell r="B933" t="str">
            <v>Transjammer AVX software plug-ins, on-line doc &amp; serial #</v>
          </cell>
          <cell r="C933">
            <v>995</v>
          </cell>
          <cell r="D933">
            <v>750</v>
          </cell>
          <cell r="E933">
            <v>910</v>
          </cell>
          <cell r="F933">
            <v>5980</v>
          </cell>
          <cell r="G933">
            <v>1780</v>
          </cell>
          <cell r="H933">
            <v>630</v>
          </cell>
          <cell r="I933">
            <v>1765000</v>
          </cell>
          <cell r="J933">
            <v>151700</v>
          </cell>
        </row>
        <row r="934">
          <cell r="A934" t="str">
            <v>0010-00858-02</v>
          </cell>
          <cell r="B934" t="str">
            <v>Transjammer AVX software plug-ins, on-line doc &amp; serial #</v>
          </cell>
          <cell r="C934">
            <v>595</v>
          </cell>
          <cell r="D934">
            <v>450</v>
          </cell>
          <cell r="E934">
            <v>550</v>
          </cell>
          <cell r="F934">
            <v>3580</v>
          </cell>
          <cell r="G934">
            <v>1070</v>
          </cell>
          <cell r="H934">
            <v>380</v>
          </cell>
          <cell r="I934">
            <v>1056000</v>
          </cell>
          <cell r="J934">
            <v>90700</v>
          </cell>
        </row>
        <row r="935">
          <cell r="B935" t="str">
            <v>Transoft Unit For Multi Channel Airplay</v>
          </cell>
          <cell r="C935">
            <v>14500</v>
          </cell>
          <cell r="D935">
            <v>10900</v>
          </cell>
          <cell r="E935">
            <v>13300</v>
          </cell>
          <cell r="F935">
            <v>87100</v>
          </cell>
          <cell r="G935">
            <v>26000</v>
          </cell>
          <cell r="H935">
            <v>9200</v>
          </cell>
          <cell r="I935">
            <v>25700000</v>
          </cell>
          <cell r="J935">
            <v>2210000</v>
          </cell>
        </row>
        <row r="936">
          <cell r="A936" t="str">
            <v>0560-00107-01</v>
          </cell>
          <cell r="B936" t="str">
            <v>8K/3D/4X4 to 9K  - inc, Intraframe, 8x8 &amp; Model Upg.</v>
          </cell>
          <cell r="C936">
            <v>8495</v>
          </cell>
          <cell r="D936">
            <v>6400</v>
          </cell>
          <cell r="E936">
            <v>7800</v>
          </cell>
          <cell r="F936">
            <v>51100</v>
          </cell>
          <cell r="G936">
            <v>15200</v>
          </cell>
          <cell r="H936">
            <v>5400</v>
          </cell>
          <cell r="I936">
            <v>15100000</v>
          </cell>
          <cell r="J936">
            <v>1300000</v>
          </cell>
        </row>
        <row r="937">
          <cell r="A937" t="str">
            <v>0560-00107-02</v>
          </cell>
          <cell r="B937" t="str">
            <v>8K/3D/4X4/IF to 9K - inc, 8x8 &amp; Model Upg.</v>
          </cell>
          <cell r="C937">
            <v>3995</v>
          </cell>
          <cell r="D937">
            <v>3000</v>
          </cell>
          <cell r="E937">
            <v>3700</v>
          </cell>
          <cell r="F937">
            <v>24000</v>
          </cell>
          <cell r="G937">
            <v>7200</v>
          </cell>
          <cell r="H937">
            <v>2500</v>
          </cell>
          <cell r="I937">
            <v>7100000</v>
          </cell>
          <cell r="J937">
            <v>610000</v>
          </cell>
        </row>
        <row r="938">
          <cell r="A938" t="str">
            <v>0560-00106-01</v>
          </cell>
          <cell r="B938" t="str">
            <v>8K/3D/8X8 to 9K  - inc, Intraframe &amp; Model Upg.</v>
          </cell>
          <cell r="C938">
            <v>5495</v>
          </cell>
          <cell r="D938">
            <v>4100</v>
          </cell>
          <cell r="E938">
            <v>5000</v>
          </cell>
          <cell r="F938">
            <v>33000</v>
          </cell>
          <cell r="G938">
            <v>9800</v>
          </cell>
          <cell r="H938">
            <v>3500</v>
          </cell>
          <cell r="I938">
            <v>9700000</v>
          </cell>
          <cell r="J938">
            <v>840000</v>
          </cell>
        </row>
        <row r="939">
          <cell r="A939" t="str">
            <v>0560-00106-02</v>
          </cell>
          <cell r="B939" t="str">
            <v>8K/3D/8X8/IF to 9K  - inc, Model Upgrade only</v>
          </cell>
          <cell r="C939">
            <v>995</v>
          </cell>
          <cell r="D939">
            <v>750</v>
          </cell>
          <cell r="E939">
            <v>910</v>
          </cell>
          <cell r="F939">
            <v>5980</v>
          </cell>
          <cell r="G939">
            <v>1780</v>
          </cell>
          <cell r="H939">
            <v>630</v>
          </cell>
          <cell r="I939">
            <v>1765000</v>
          </cell>
          <cell r="J939">
            <v>151700</v>
          </cell>
        </row>
        <row r="940">
          <cell r="A940" t="str">
            <v>0510-03091-01</v>
          </cell>
          <cell r="B940" t="str">
            <v>Upg for V7.0.0 or later of ABVB Base+Gasket+Component</v>
          </cell>
          <cell r="C940">
            <v>2500</v>
          </cell>
          <cell r="D940">
            <v>1900</v>
          </cell>
          <cell r="E940">
            <v>2300</v>
          </cell>
          <cell r="F940">
            <v>15000</v>
          </cell>
          <cell r="G940">
            <v>4500</v>
          </cell>
          <cell r="H940">
            <v>1600</v>
          </cell>
          <cell r="I940">
            <v>4400000</v>
          </cell>
          <cell r="J940">
            <v>380000</v>
          </cell>
        </row>
        <row r="941">
          <cell r="A941" t="str">
            <v>0510-03092-01</v>
          </cell>
          <cell r="B941" t="str">
            <v>Upg for V7.0.2 of ABVB Base+Gasket+SDI</v>
          </cell>
          <cell r="C941">
            <v>2500</v>
          </cell>
          <cell r="D941">
            <v>1900</v>
          </cell>
          <cell r="E941">
            <v>2300</v>
          </cell>
          <cell r="F941">
            <v>15000</v>
          </cell>
          <cell r="G941">
            <v>4500</v>
          </cell>
          <cell r="H941">
            <v>1600</v>
          </cell>
          <cell r="I941">
            <v>4400000</v>
          </cell>
          <cell r="J941">
            <v>380000</v>
          </cell>
        </row>
        <row r="942">
          <cell r="A942" t="str">
            <v>0510-03062-01</v>
          </cell>
          <cell r="B942" t="str">
            <v>Upgrade to Amadeus, 8*8, VSD, BBGen for AM III</v>
          </cell>
          <cell r="C942">
            <v>6650</v>
          </cell>
          <cell r="D942">
            <v>5000</v>
          </cell>
          <cell r="E942">
            <v>6100</v>
          </cell>
          <cell r="F942">
            <v>40000</v>
          </cell>
          <cell r="G942">
            <v>11900</v>
          </cell>
          <cell r="H942">
            <v>4200</v>
          </cell>
          <cell r="I942">
            <v>11800000</v>
          </cell>
          <cell r="J942">
            <v>1010000</v>
          </cell>
        </row>
        <row r="943">
          <cell r="A943" t="str">
            <v>0100-00980-01</v>
          </cell>
          <cell r="B943" t="str">
            <v>Illusion Back Rend,Upg for O2 to Octane</v>
          </cell>
          <cell r="C943">
            <v>1440</v>
          </cell>
          <cell r="D943">
            <v>1080</v>
          </cell>
          <cell r="E943">
            <v>1320</v>
          </cell>
          <cell r="F943">
            <v>8650</v>
          </cell>
          <cell r="G943">
            <v>2580</v>
          </cell>
          <cell r="H943">
            <v>910</v>
          </cell>
          <cell r="I943">
            <v>2555000</v>
          </cell>
          <cell r="J943">
            <v>219500</v>
          </cell>
        </row>
        <row r="944">
          <cell r="A944" t="str">
            <v>0100-00836-02</v>
          </cell>
          <cell r="B944" t="str">
            <v>Illusion,Upg for O2 to Octane</v>
          </cell>
          <cell r="C944">
            <v>7440</v>
          </cell>
          <cell r="D944">
            <v>5600</v>
          </cell>
          <cell r="E944">
            <v>6800</v>
          </cell>
          <cell r="F944">
            <v>44700</v>
          </cell>
          <cell r="G944">
            <v>13300</v>
          </cell>
          <cell r="H944">
            <v>4700</v>
          </cell>
          <cell r="I944">
            <v>13200000</v>
          </cell>
          <cell r="J944">
            <v>1130000</v>
          </cell>
        </row>
        <row r="945">
          <cell r="B945" t="str">
            <v>Janus Jaws to enable RealTime Multicam on v7 MC8000s</v>
          </cell>
          <cell r="C945">
            <v>1500</v>
          </cell>
          <cell r="D945">
            <v>1130</v>
          </cell>
          <cell r="E945">
            <v>1370</v>
          </cell>
          <cell r="F945">
            <v>9020</v>
          </cell>
          <cell r="G945">
            <v>2690</v>
          </cell>
          <cell r="H945">
            <v>950</v>
          </cell>
          <cell r="I945">
            <v>2661000</v>
          </cell>
          <cell r="J945">
            <v>228700</v>
          </cell>
        </row>
        <row r="946">
          <cell r="A946" t="str">
            <v>0100-00670-02</v>
          </cell>
          <cell r="B946" t="str">
            <v>Matador,Upg Animate for O2 to Octane</v>
          </cell>
          <cell r="C946">
            <v>4200</v>
          </cell>
          <cell r="D946">
            <v>3200</v>
          </cell>
          <cell r="E946">
            <v>3800</v>
          </cell>
          <cell r="F946">
            <v>25200</v>
          </cell>
          <cell r="G946">
            <v>7500</v>
          </cell>
          <cell r="H946">
            <v>2700</v>
          </cell>
          <cell r="I946">
            <v>7500000</v>
          </cell>
          <cell r="J946">
            <v>640000</v>
          </cell>
        </row>
        <row r="947">
          <cell r="A947" t="str">
            <v>0100-00981-01</v>
          </cell>
          <cell r="B947" t="str">
            <v>Matador Back Rend,Upg for O2 to Octane</v>
          </cell>
          <cell r="C947">
            <v>1440</v>
          </cell>
          <cell r="D947">
            <v>1080</v>
          </cell>
          <cell r="E947">
            <v>1320</v>
          </cell>
          <cell r="F947">
            <v>8650</v>
          </cell>
          <cell r="G947">
            <v>2580</v>
          </cell>
          <cell r="H947">
            <v>910</v>
          </cell>
          <cell r="I947">
            <v>2555000</v>
          </cell>
          <cell r="J947">
            <v>219500</v>
          </cell>
        </row>
        <row r="948">
          <cell r="A948" t="str">
            <v>0100-00660-02</v>
          </cell>
          <cell r="B948" t="str">
            <v>Matador,Upg Paint to Animate for O2</v>
          </cell>
          <cell r="C948">
            <v>4800</v>
          </cell>
          <cell r="D948">
            <v>3600</v>
          </cell>
          <cell r="E948">
            <v>4400</v>
          </cell>
          <cell r="F948">
            <v>28800</v>
          </cell>
          <cell r="G948">
            <v>8600</v>
          </cell>
          <cell r="H948">
            <v>3000</v>
          </cell>
          <cell r="I948">
            <v>8500000</v>
          </cell>
          <cell r="J948">
            <v>730000</v>
          </cell>
        </row>
        <row r="949">
          <cell r="A949" t="str">
            <v>0100-00661-02</v>
          </cell>
          <cell r="B949" t="str">
            <v>Matador,Upg Paint to Animate for Octane</v>
          </cell>
          <cell r="C949">
            <v>6000</v>
          </cell>
          <cell r="D949">
            <v>4500</v>
          </cell>
          <cell r="E949">
            <v>5500</v>
          </cell>
          <cell r="F949">
            <v>36100</v>
          </cell>
          <cell r="G949">
            <v>10800</v>
          </cell>
          <cell r="H949">
            <v>3800</v>
          </cell>
          <cell r="I949">
            <v>10600000</v>
          </cell>
          <cell r="J949">
            <v>910000</v>
          </cell>
        </row>
        <row r="950">
          <cell r="A950" t="str">
            <v>0100-00669-02</v>
          </cell>
          <cell r="B950" t="str">
            <v>Matador,Upg Paint for O2 to Octane</v>
          </cell>
          <cell r="C950">
            <v>3000</v>
          </cell>
          <cell r="D950">
            <v>2300</v>
          </cell>
          <cell r="E950">
            <v>2700</v>
          </cell>
          <cell r="F950">
            <v>18000</v>
          </cell>
          <cell r="G950">
            <v>5400</v>
          </cell>
          <cell r="H950">
            <v>1900</v>
          </cell>
          <cell r="I950">
            <v>5300000</v>
          </cell>
          <cell r="J950">
            <v>460000</v>
          </cell>
        </row>
        <row r="951">
          <cell r="B951" t="str">
            <v>Upgrade to Yamaha interface for all ES8 &amp; ES16 systems</v>
          </cell>
          <cell r="C951">
            <v>790</v>
          </cell>
          <cell r="D951">
            <v>590</v>
          </cell>
          <cell r="E951">
            <v>720</v>
          </cell>
          <cell r="F951">
            <v>4750</v>
          </cell>
          <cell r="G951">
            <v>1420</v>
          </cell>
          <cell r="H951">
            <v>500</v>
          </cell>
          <cell r="I951">
            <v>1402000</v>
          </cell>
          <cell r="J951">
            <v>120400</v>
          </cell>
        </row>
        <row r="952">
          <cell r="A952" t="str">
            <v>0510-03089-01</v>
          </cell>
          <cell r="B952" t="str">
            <v>Upgrade from NuVista System to PCI System</v>
          </cell>
          <cell r="C952">
            <v>2500</v>
          </cell>
          <cell r="D952">
            <v>1900</v>
          </cell>
          <cell r="E952">
            <v>2300</v>
          </cell>
          <cell r="F952">
            <v>15000</v>
          </cell>
          <cell r="G952">
            <v>4500</v>
          </cell>
          <cell r="H952">
            <v>1600</v>
          </cell>
          <cell r="I952">
            <v>4400000</v>
          </cell>
          <cell r="J952">
            <v>380000</v>
          </cell>
        </row>
        <row r="953">
          <cell r="B953" t="str">
            <v>PCI Board set with AV16 NuBus system sale</v>
          </cell>
          <cell r="C953">
            <v>0</v>
          </cell>
          <cell r="D953">
            <v>0</v>
          </cell>
          <cell r="E953">
            <v>0</v>
          </cell>
          <cell r="F953">
            <v>0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</row>
        <row r="954">
          <cell r="B954" t="str">
            <v>PCI Board set with AV8 NuBus system sale</v>
          </cell>
          <cell r="C954">
            <v>8995</v>
          </cell>
          <cell r="D954">
            <v>6700</v>
          </cell>
          <cell r="E954">
            <v>8200</v>
          </cell>
          <cell r="F954">
            <v>54100</v>
          </cell>
          <cell r="G954">
            <v>16100</v>
          </cell>
          <cell r="H954">
            <v>5700</v>
          </cell>
          <cell r="I954">
            <v>16000000</v>
          </cell>
          <cell r="J954">
            <v>1370000</v>
          </cell>
        </row>
        <row r="955">
          <cell r="A955" t="str">
            <v>0510-03073-01</v>
          </cell>
          <cell r="B955" t="str">
            <v>PCI Upgrade to MC1000, AMIII , Mandrill , Comp</v>
          </cell>
          <cell r="C955">
            <v>25850</v>
          </cell>
          <cell r="D955">
            <v>19400</v>
          </cell>
          <cell r="E955">
            <v>23700</v>
          </cell>
          <cell r="F955">
            <v>155400</v>
          </cell>
          <cell r="G955">
            <v>46300</v>
          </cell>
          <cell r="H955">
            <v>16400</v>
          </cell>
          <cell r="I955">
            <v>45900000</v>
          </cell>
          <cell r="J955">
            <v>3940000</v>
          </cell>
        </row>
        <row r="956">
          <cell r="A956" t="str">
            <v>0510-03074-01</v>
          </cell>
          <cell r="B956" t="str">
            <v>PCI Upgrade to MC1000, AMIII , Comp</v>
          </cell>
          <cell r="C956">
            <v>25850</v>
          </cell>
          <cell r="D956">
            <v>19400</v>
          </cell>
          <cell r="E956">
            <v>23700</v>
          </cell>
          <cell r="F956">
            <v>155400</v>
          </cell>
          <cell r="G956">
            <v>46300</v>
          </cell>
          <cell r="H956">
            <v>16400</v>
          </cell>
          <cell r="I956">
            <v>45900000</v>
          </cell>
          <cell r="J956">
            <v>3940000</v>
          </cell>
        </row>
        <row r="957">
          <cell r="A957" t="str">
            <v>0510-03075-01</v>
          </cell>
          <cell r="B957" t="str">
            <v>PCI Upgrade to MC1000, AMADEUS , Mandrill , Comp</v>
          </cell>
          <cell r="C957">
            <v>25850</v>
          </cell>
          <cell r="D957">
            <v>19400</v>
          </cell>
          <cell r="E957">
            <v>23700</v>
          </cell>
          <cell r="F957">
            <v>155400</v>
          </cell>
          <cell r="G957">
            <v>46300</v>
          </cell>
          <cell r="H957">
            <v>16400</v>
          </cell>
          <cell r="I957">
            <v>45900000</v>
          </cell>
          <cell r="J957">
            <v>3940000</v>
          </cell>
        </row>
        <row r="958">
          <cell r="A958" t="str">
            <v>0510-03076-01</v>
          </cell>
          <cell r="B958" t="str">
            <v>PCI Upgrade to MC1000, AMADEUS , Comp</v>
          </cell>
          <cell r="C958">
            <v>25850</v>
          </cell>
          <cell r="D958">
            <v>19400</v>
          </cell>
          <cell r="E958">
            <v>23700</v>
          </cell>
          <cell r="F958">
            <v>155400</v>
          </cell>
          <cell r="G958">
            <v>46300</v>
          </cell>
          <cell r="H958">
            <v>16400</v>
          </cell>
          <cell r="I958">
            <v>45900000</v>
          </cell>
          <cell r="J958">
            <v>3940000</v>
          </cell>
        </row>
        <row r="959">
          <cell r="A959" t="str">
            <v>0510-03077-01</v>
          </cell>
          <cell r="B959" t="str">
            <v>PCI Upgrade to MC1000, AMIII , Mandrill , SDI</v>
          </cell>
          <cell r="C959">
            <v>25850</v>
          </cell>
          <cell r="D959">
            <v>19400</v>
          </cell>
          <cell r="E959">
            <v>23700</v>
          </cell>
          <cell r="F959">
            <v>155400</v>
          </cell>
          <cell r="G959">
            <v>46300</v>
          </cell>
          <cell r="H959">
            <v>16400</v>
          </cell>
          <cell r="I959">
            <v>45900000</v>
          </cell>
          <cell r="J959">
            <v>3940000</v>
          </cell>
        </row>
        <row r="960">
          <cell r="A960" t="str">
            <v>0510-03078-01</v>
          </cell>
          <cell r="B960" t="str">
            <v>PCI Upgrade to MC1000, AMIII,SDI</v>
          </cell>
          <cell r="C960">
            <v>25850</v>
          </cell>
          <cell r="D960">
            <v>19400</v>
          </cell>
          <cell r="E960">
            <v>23700</v>
          </cell>
          <cell r="F960">
            <v>155400</v>
          </cell>
          <cell r="G960">
            <v>46300</v>
          </cell>
          <cell r="H960">
            <v>16400</v>
          </cell>
          <cell r="I960">
            <v>45900000</v>
          </cell>
          <cell r="J960">
            <v>3940000</v>
          </cell>
        </row>
        <row r="961">
          <cell r="A961" t="str">
            <v>0510-03079-01</v>
          </cell>
          <cell r="B961" t="str">
            <v>PCI Upgrade to MC1000, AMADEUS , Mandrill , SDI</v>
          </cell>
          <cell r="C961">
            <v>25850</v>
          </cell>
          <cell r="D961">
            <v>19400</v>
          </cell>
          <cell r="E961">
            <v>23700</v>
          </cell>
          <cell r="F961">
            <v>155400</v>
          </cell>
          <cell r="G961">
            <v>46300</v>
          </cell>
          <cell r="H961">
            <v>16400</v>
          </cell>
          <cell r="I961">
            <v>45900000</v>
          </cell>
          <cell r="J961">
            <v>3940000</v>
          </cell>
        </row>
        <row r="962">
          <cell r="A962" t="str">
            <v>0510-03080-01</v>
          </cell>
          <cell r="B962" t="str">
            <v>PCI Upgrade to MC1000, AMADEUS, no fx SDI</v>
          </cell>
          <cell r="C962">
            <v>25850</v>
          </cell>
          <cell r="D962">
            <v>19400</v>
          </cell>
          <cell r="E962">
            <v>23700</v>
          </cell>
          <cell r="F962">
            <v>155400</v>
          </cell>
          <cell r="G962">
            <v>46300</v>
          </cell>
          <cell r="H962">
            <v>16400</v>
          </cell>
          <cell r="I962">
            <v>45900000</v>
          </cell>
          <cell r="J962">
            <v>3940000</v>
          </cell>
        </row>
        <row r="963">
          <cell r="A963" t="str">
            <v>0510-03081-01</v>
          </cell>
          <cell r="B963" t="str">
            <v>PCI Upgrade to MC4000, AMADEUS , Mandrill , Comp</v>
          </cell>
          <cell r="C963">
            <v>29100</v>
          </cell>
          <cell r="D963">
            <v>21800</v>
          </cell>
          <cell r="E963">
            <v>26700</v>
          </cell>
          <cell r="F963">
            <v>174900</v>
          </cell>
          <cell r="G963">
            <v>52100</v>
          </cell>
          <cell r="H963">
            <v>18400</v>
          </cell>
          <cell r="I963">
            <v>51600000</v>
          </cell>
          <cell r="J963">
            <v>4440000</v>
          </cell>
        </row>
        <row r="964">
          <cell r="A964" t="str">
            <v>0510-03082-01</v>
          </cell>
          <cell r="B964" t="str">
            <v>PCI Upgrade to MC4000, AMADEUS, Comp</v>
          </cell>
          <cell r="C964">
            <v>29100</v>
          </cell>
          <cell r="D964">
            <v>21800</v>
          </cell>
          <cell r="E964">
            <v>26700</v>
          </cell>
          <cell r="F964">
            <v>174900</v>
          </cell>
          <cell r="G964">
            <v>52100</v>
          </cell>
          <cell r="H964">
            <v>18400</v>
          </cell>
          <cell r="I964">
            <v>51600000</v>
          </cell>
          <cell r="J964">
            <v>4440000</v>
          </cell>
        </row>
        <row r="965">
          <cell r="A965" t="str">
            <v>0510-03083-01</v>
          </cell>
          <cell r="B965" t="str">
            <v>PCI Upgrade to MC4000, AMADEUS , Mandrill, SDI</v>
          </cell>
          <cell r="C965">
            <v>29100</v>
          </cell>
          <cell r="D965">
            <v>21800</v>
          </cell>
          <cell r="E965">
            <v>26700</v>
          </cell>
          <cell r="F965">
            <v>174900</v>
          </cell>
          <cell r="G965">
            <v>52100</v>
          </cell>
          <cell r="H965">
            <v>18400</v>
          </cell>
          <cell r="I965">
            <v>51600000</v>
          </cell>
          <cell r="J965">
            <v>4440000</v>
          </cell>
        </row>
        <row r="966">
          <cell r="A966" t="str">
            <v>0510-03084-01</v>
          </cell>
          <cell r="B966" t="str">
            <v>PCI Upgrade to MC4000, AMADEUS, no fx SDI</v>
          </cell>
          <cell r="C966">
            <v>29100</v>
          </cell>
          <cell r="D966">
            <v>21800</v>
          </cell>
          <cell r="E966">
            <v>26700</v>
          </cell>
          <cell r="F966">
            <v>174900</v>
          </cell>
          <cell r="G966">
            <v>52100</v>
          </cell>
          <cell r="H966">
            <v>18400</v>
          </cell>
          <cell r="I966">
            <v>51600000</v>
          </cell>
          <cell r="J966">
            <v>4440000</v>
          </cell>
        </row>
        <row r="967">
          <cell r="A967" t="str">
            <v>0510-03085-01</v>
          </cell>
          <cell r="B967" t="str">
            <v>PCI Upgrade to MC8000, AMADEUS, Comp</v>
          </cell>
          <cell r="C967">
            <v>32845</v>
          </cell>
          <cell r="D967">
            <v>24600</v>
          </cell>
          <cell r="E967">
            <v>30100</v>
          </cell>
          <cell r="F967">
            <v>197400</v>
          </cell>
          <cell r="G967">
            <v>58900</v>
          </cell>
          <cell r="H967">
            <v>20800</v>
          </cell>
          <cell r="I967">
            <v>58300000</v>
          </cell>
          <cell r="J967">
            <v>5010000</v>
          </cell>
        </row>
        <row r="968">
          <cell r="A968" t="str">
            <v>0510-03086-01</v>
          </cell>
          <cell r="B968" t="str">
            <v>PCI Upgrade to MC8000, AMADEUS, no fx, SDI</v>
          </cell>
          <cell r="C968">
            <v>32845</v>
          </cell>
          <cell r="D968">
            <v>24600</v>
          </cell>
          <cell r="E968">
            <v>30100</v>
          </cell>
          <cell r="F968">
            <v>197400</v>
          </cell>
          <cell r="G968">
            <v>58900</v>
          </cell>
          <cell r="H968">
            <v>20800</v>
          </cell>
          <cell r="I968">
            <v>58300000</v>
          </cell>
          <cell r="J968">
            <v>5010000</v>
          </cell>
        </row>
        <row r="969">
          <cell r="A969" t="str">
            <v>0510-03069-01</v>
          </cell>
          <cell r="B969" t="str">
            <v>PCI Upgrade to MC900, AMIII , No FX , Comp</v>
          </cell>
          <cell r="C969">
            <v>24850</v>
          </cell>
          <cell r="D969">
            <v>18600</v>
          </cell>
          <cell r="E969">
            <v>22800</v>
          </cell>
          <cell r="F969">
            <v>149400</v>
          </cell>
          <cell r="G969">
            <v>44500</v>
          </cell>
          <cell r="H969">
            <v>15700</v>
          </cell>
          <cell r="I969">
            <v>44100000</v>
          </cell>
          <cell r="J969">
            <v>3790000</v>
          </cell>
        </row>
        <row r="970">
          <cell r="A970" t="str">
            <v>0510-03070-01</v>
          </cell>
          <cell r="B970" t="str">
            <v>PCI Upgrade to MC900, AMADEUS , No FX , Comp</v>
          </cell>
          <cell r="C970">
            <v>24850</v>
          </cell>
          <cell r="D970">
            <v>18600</v>
          </cell>
          <cell r="E970">
            <v>22800</v>
          </cell>
          <cell r="F970">
            <v>149400</v>
          </cell>
          <cell r="G970">
            <v>44500</v>
          </cell>
          <cell r="H970">
            <v>15700</v>
          </cell>
          <cell r="I970">
            <v>44100000</v>
          </cell>
          <cell r="J970">
            <v>3790000</v>
          </cell>
        </row>
        <row r="971">
          <cell r="A971" t="str">
            <v>0510-03071-01</v>
          </cell>
          <cell r="B971" t="str">
            <v>PCI Upgrade to MC900, AMIII , No FX , SDI</v>
          </cell>
          <cell r="C971">
            <v>24850</v>
          </cell>
          <cell r="D971">
            <v>18600</v>
          </cell>
          <cell r="E971">
            <v>22800</v>
          </cell>
          <cell r="F971">
            <v>149400</v>
          </cell>
          <cell r="G971">
            <v>44500</v>
          </cell>
          <cell r="H971">
            <v>15700</v>
          </cell>
          <cell r="I971">
            <v>44100000</v>
          </cell>
          <cell r="J971">
            <v>3790000</v>
          </cell>
        </row>
        <row r="972">
          <cell r="A972" t="str">
            <v>0510-03072-01</v>
          </cell>
          <cell r="B972" t="str">
            <v>PCI Upgrade to MC900, AMADEUS , No FX , SDI</v>
          </cell>
          <cell r="C972">
            <v>24850</v>
          </cell>
          <cell r="D972">
            <v>18600</v>
          </cell>
          <cell r="E972">
            <v>22800</v>
          </cell>
          <cell r="F972">
            <v>149400</v>
          </cell>
          <cell r="G972">
            <v>44500</v>
          </cell>
          <cell r="H972">
            <v>15700</v>
          </cell>
          <cell r="I972">
            <v>44100000</v>
          </cell>
          <cell r="J972">
            <v>3790000</v>
          </cell>
        </row>
        <row r="973">
          <cell r="A973" t="str">
            <v>0510-03067-01</v>
          </cell>
          <cell r="B973" t="str">
            <v>PCI Upgrade to Film Composer, AMADEUS , Mandrill , Comp</v>
          </cell>
          <cell r="C973">
            <v>28350</v>
          </cell>
          <cell r="D973">
            <v>21300</v>
          </cell>
          <cell r="E973">
            <v>26000</v>
          </cell>
          <cell r="F973">
            <v>170400</v>
          </cell>
          <cell r="G973">
            <v>50800</v>
          </cell>
          <cell r="H973">
            <v>18000</v>
          </cell>
          <cell r="I973">
            <v>50300000</v>
          </cell>
          <cell r="J973">
            <v>4320000</v>
          </cell>
        </row>
        <row r="974">
          <cell r="A974" t="str">
            <v>0510-03068-01</v>
          </cell>
          <cell r="B974" t="str">
            <v>PCI Upgrade to Film Composer, AMADEUS , Mandrill , SDI</v>
          </cell>
          <cell r="C974">
            <v>28350</v>
          </cell>
          <cell r="D974">
            <v>21300</v>
          </cell>
          <cell r="E974">
            <v>26000</v>
          </cell>
          <cell r="F974">
            <v>170400</v>
          </cell>
          <cell r="G974">
            <v>50800</v>
          </cell>
          <cell r="H974">
            <v>18000</v>
          </cell>
          <cell r="I974">
            <v>50300000</v>
          </cell>
          <cell r="J974">
            <v>4320000</v>
          </cell>
        </row>
        <row r="975">
          <cell r="A975" t="str">
            <v>0510-03063-01</v>
          </cell>
          <cell r="B975" t="str">
            <v>PCI Upgrade to MCOffline, AMIII , No FX , Comp</v>
          </cell>
          <cell r="C975">
            <v>22850</v>
          </cell>
          <cell r="D975">
            <v>17100</v>
          </cell>
          <cell r="E975">
            <v>20900</v>
          </cell>
          <cell r="F975">
            <v>137300</v>
          </cell>
          <cell r="G975">
            <v>40900</v>
          </cell>
          <cell r="H975">
            <v>14500</v>
          </cell>
          <cell r="I975">
            <v>40500000</v>
          </cell>
          <cell r="J975">
            <v>3480000</v>
          </cell>
        </row>
        <row r="976">
          <cell r="A976" t="str">
            <v>0510-03064-01</v>
          </cell>
          <cell r="B976" t="str">
            <v>PCI Upgrade to MCOffline, AMADEUS , No FX , Comp</v>
          </cell>
          <cell r="C976">
            <v>22850</v>
          </cell>
          <cell r="D976">
            <v>17100</v>
          </cell>
          <cell r="E976">
            <v>20900</v>
          </cell>
          <cell r="F976">
            <v>137300</v>
          </cell>
          <cell r="G976">
            <v>40900</v>
          </cell>
          <cell r="H976">
            <v>14500</v>
          </cell>
          <cell r="I976">
            <v>40500000</v>
          </cell>
          <cell r="J976">
            <v>3480000</v>
          </cell>
        </row>
        <row r="977">
          <cell r="A977" t="str">
            <v>0510-03065-01</v>
          </cell>
          <cell r="B977" t="str">
            <v>PCI Upgrade to MCOffline, AMIII , No FX , SDI</v>
          </cell>
          <cell r="C977">
            <v>22850</v>
          </cell>
          <cell r="D977">
            <v>17100</v>
          </cell>
          <cell r="E977">
            <v>20900</v>
          </cell>
          <cell r="F977">
            <v>137300</v>
          </cell>
          <cell r="G977">
            <v>40900</v>
          </cell>
          <cell r="H977">
            <v>14500</v>
          </cell>
          <cell r="I977">
            <v>40500000</v>
          </cell>
          <cell r="J977">
            <v>3480000</v>
          </cell>
        </row>
        <row r="978">
          <cell r="A978" t="str">
            <v>0510-03066-01</v>
          </cell>
          <cell r="B978" t="str">
            <v>PCI Upgrade to MCOffline, AMADEUS , No FX , SDI</v>
          </cell>
          <cell r="C978">
            <v>22850</v>
          </cell>
          <cell r="D978">
            <v>17100</v>
          </cell>
          <cell r="E978">
            <v>20900</v>
          </cell>
          <cell r="F978">
            <v>137300</v>
          </cell>
          <cell r="G978">
            <v>40900</v>
          </cell>
          <cell r="H978">
            <v>14500</v>
          </cell>
          <cell r="I978">
            <v>40500000</v>
          </cell>
          <cell r="J978">
            <v>3480000</v>
          </cell>
        </row>
        <row r="979">
          <cell r="A979" t="str">
            <v>0510-03087-01</v>
          </cell>
          <cell r="B979" t="str">
            <v>PCI Upgrade to MST, AMADEUS , No FX , Comp</v>
          </cell>
          <cell r="C979">
            <v>22850</v>
          </cell>
          <cell r="D979">
            <v>17100</v>
          </cell>
          <cell r="E979">
            <v>20900</v>
          </cell>
          <cell r="F979">
            <v>137300</v>
          </cell>
          <cell r="G979">
            <v>40900</v>
          </cell>
          <cell r="H979">
            <v>14500</v>
          </cell>
          <cell r="I979">
            <v>40500000</v>
          </cell>
          <cell r="J979">
            <v>3480000</v>
          </cell>
        </row>
        <row r="980">
          <cell r="A980" t="str">
            <v>0510-03088-01</v>
          </cell>
          <cell r="B980" t="str">
            <v>PCI Upgrade to MST, AMADEUS , No FX , SDI</v>
          </cell>
          <cell r="C980">
            <v>22850</v>
          </cell>
          <cell r="D980">
            <v>17100</v>
          </cell>
          <cell r="E980">
            <v>20900</v>
          </cell>
          <cell r="F980">
            <v>137300</v>
          </cell>
          <cell r="G980">
            <v>40900</v>
          </cell>
          <cell r="H980">
            <v>14500</v>
          </cell>
          <cell r="I980">
            <v>40500000</v>
          </cell>
          <cell r="J980">
            <v>3480000</v>
          </cell>
        </row>
        <row r="981">
          <cell r="B981" t="str">
            <v>SA4-4X4-VSD Upgrade</v>
          </cell>
          <cell r="C981">
            <v>3479</v>
          </cell>
          <cell r="D981">
            <v>2600</v>
          </cell>
          <cell r="E981">
            <v>3200</v>
          </cell>
          <cell r="F981">
            <v>20900</v>
          </cell>
          <cell r="G981">
            <v>6200</v>
          </cell>
          <cell r="H981">
            <v>2200</v>
          </cell>
          <cell r="I981">
            <v>6200000</v>
          </cell>
          <cell r="J981">
            <v>530000</v>
          </cell>
        </row>
        <row r="982">
          <cell r="B982" t="str">
            <v>SA4-4x4-Vid Slave, BBGEN Upgrade</v>
          </cell>
          <cell r="C982">
            <v>4229</v>
          </cell>
          <cell r="D982">
            <v>3200</v>
          </cell>
          <cell r="E982">
            <v>3900</v>
          </cell>
          <cell r="F982">
            <v>25400</v>
          </cell>
          <cell r="G982">
            <v>7600</v>
          </cell>
          <cell r="H982">
            <v>2700</v>
          </cell>
          <cell r="I982">
            <v>7500000</v>
          </cell>
          <cell r="J982">
            <v>640000</v>
          </cell>
        </row>
        <row r="983">
          <cell r="B983" t="str">
            <v>Substitute PCI ABVB Component IO with SDI</v>
          </cell>
          <cell r="C983">
            <v>2000</v>
          </cell>
          <cell r="D983">
            <v>1500</v>
          </cell>
          <cell r="E983">
            <v>1830</v>
          </cell>
          <cell r="F983">
            <v>12020</v>
          </cell>
          <cell r="G983">
            <v>3580</v>
          </cell>
          <cell r="H983">
            <v>1270</v>
          </cell>
          <cell r="I983">
            <v>3548000</v>
          </cell>
          <cell r="J983">
            <v>304900</v>
          </cell>
        </row>
        <row r="984">
          <cell r="A984" t="str">
            <v>0510-03122-01</v>
          </cell>
          <cell r="B984" t="str">
            <v>Upgrade from MC1000 to MC9000 - software only</v>
          </cell>
          <cell r="C984">
            <v>41515</v>
          </cell>
          <cell r="D984">
            <v>31100</v>
          </cell>
          <cell r="E984">
            <v>38000</v>
          </cell>
          <cell r="F984">
            <v>249500</v>
          </cell>
          <cell r="G984">
            <v>74400</v>
          </cell>
          <cell r="H984">
            <v>26300</v>
          </cell>
          <cell r="I984">
            <v>73700000</v>
          </cell>
          <cell r="J984">
            <v>6330000</v>
          </cell>
        </row>
        <row r="985">
          <cell r="A985" t="str">
            <v>0510-03109-01</v>
          </cell>
          <cell r="B985" t="str">
            <v>Upgrade from MC230 to MC1000 - software only</v>
          </cell>
          <cell r="C985">
            <v>11400</v>
          </cell>
          <cell r="D985">
            <v>8600</v>
          </cell>
          <cell r="E985">
            <v>10400</v>
          </cell>
          <cell r="F985">
            <v>68500</v>
          </cell>
          <cell r="G985">
            <v>20400</v>
          </cell>
          <cell r="H985">
            <v>7200</v>
          </cell>
          <cell r="I985">
            <v>20200000</v>
          </cell>
          <cell r="J985">
            <v>1740000</v>
          </cell>
        </row>
        <row r="986">
          <cell r="A986" t="str">
            <v>0510-03110-01</v>
          </cell>
          <cell r="B986" t="str">
            <v>Upgrade from MC240 to MC1000 - software only</v>
          </cell>
          <cell r="C986">
            <v>10400</v>
          </cell>
          <cell r="D986">
            <v>7800</v>
          </cell>
          <cell r="E986">
            <v>9500</v>
          </cell>
          <cell r="F986">
            <v>62500</v>
          </cell>
          <cell r="G986">
            <v>18600</v>
          </cell>
          <cell r="H986">
            <v>6600</v>
          </cell>
          <cell r="I986">
            <v>18500000</v>
          </cell>
          <cell r="J986">
            <v>1590000</v>
          </cell>
        </row>
        <row r="987">
          <cell r="A987" t="str">
            <v>0510-03111-01</v>
          </cell>
          <cell r="B987" t="str">
            <v>Upgrade from MC2500 to MC9000 - software only</v>
          </cell>
          <cell r="C987">
            <v>26300</v>
          </cell>
          <cell r="D987">
            <v>19700</v>
          </cell>
          <cell r="E987">
            <v>24100</v>
          </cell>
          <cell r="F987">
            <v>158100</v>
          </cell>
          <cell r="G987">
            <v>47100</v>
          </cell>
          <cell r="H987">
            <v>16700</v>
          </cell>
          <cell r="I987">
            <v>46700000</v>
          </cell>
          <cell r="J987">
            <v>4010000</v>
          </cell>
        </row>
        <row r="988">
          <cell r="B988" t="str">
            <v>Upgrade from MC400 to MC1000 - software only</v>
          </cell>
          <cell r="C988">
            <v>11400</v>
          </cell>
          <cell r="D988">
            <v>8600</v>
          </cell>
          <cell r="E988">
            <v>10400</v>
          </cell>
          <cell r="F988">
            <v>68500</v>
          </cell>
          <cell r="G988">
            <v>20400</v>
          </cell>
          <cell r="H988">
            <v>7200</v>
          </cell>
          <cell r="I988">
            <v>20200000</v>
          </cell>
          <cell r="J988">
            <v>1740000</v>
          </cell>
        </row>
        <row r="989">
          <cell r="A989" t="str">
            <v>0510-03107-01</v>
          </cell>
          <cell r="B989" t="str">
            <v>Upgrade from MC400 to MC Offline - software only</v>
          </cell>
          <cell r="C989">
            <v>4100</v>
          </cell>
          <cell r="D989">
            <v>3100</v>
          </cell>
          <cell r="E989">
            <v>3800</v>
          </cell>
          <cell r="F989">
            <v>24600</v>
          </cell>
          <cell r="G989">
            <v>7300</v>
          </cell>
          <cell r="H989">
            <v>2600</v>
          </cell>
          <cell r="I989">
            <v>7300000</v>
          </cell>
          <cell r="J989">
            <v>630000</v>
          </cell>
        </row>
        <row r="990">
          <cell r="A990" t="str">
            <v>0510-00418-01</v>
          </cell>
          <cell r="B990" t="str">
            <v>Upgrade from MC4000 to MC9000 - software only</v>
          </cell>
          <cell r="C990">
            <v>15995</v>
          </cell>
          <cell r="D990">
            <v>12000</v>
          </cell>
          <cell r="E990">
            <v>14700</v>
          </cell>
          <cell r="F990">
            <v>96100</v>
          </cell>
          <cell r="G990">
            <v>28700</v>
          </cell>
          <cell r="H990">
            <v>10100</v>
          </cell>
          <cell r="I990">
            <v>28400000</v>
          </cell>
          <cell r="J990">
            <v>2440000</v>
          </cell>
        </row>
        <row r="991">
          <cell r="B991" t="str">
            <v>Upgrade from MC800 to MC1000 - software only</v>
          </cell>
          <cell r="C991">
            <v>6200</v>
          </cell>
          <cell r="D991">
            <v>4700</v>
          </cell>
          <cell r="E991">
            <v>5700</v>
          </cell>
          <cell r="F991">
            <v>37300</v>
          </cell>
          <cell r="G991">
            <v>11100</v>
          </cell>
          <cell r="H991">
            <v>3900</v>
          </cell>
          <cell r="I991">
            <v>11000000</v>
          </cell>
          <cell r="J991">
            <v>950000</v>
          </cell>
        </row>
        <row r="992">
          <cell r="B992" t="str">
            <v>Upgrade from MC800 to MC9000 - software only</v>
          </cell>
          <cell r="C992">
            <v>23100</v>
          </cell>
          <cell r="D992">
            <v>17300</v>
          </cell>
          <cell r="E992">
            <v>21200</v>
          </cell>
          <cell r="F992">
            <v>138800</v>
          </cell>
          <cell r="G992">
            <v>41400</v>
          </cell>
          <cell r="H992">
            <v>14600</v>
          </cell>
          <cell r="I992">
            <v>41000000</v>
          </cell>
          <cell r="J992">
            <v>3520000</v>
          </cell>
        </row>
        <row r="993">
          <cell r="A993" t="str">
            <v>0510-03108-01</v>
          </cell>
          <cell r="B993" t="str">
            <v>Upgrade from MC800 to MC Offline - software only</v>
          </cell>
          <cell r="C993">
            <v>3100</v>
          </cell>
          <cell r="D993">
            <v>2300</v>
          </cell>
          <cell r="E993">
            <v>2800</v>
          </cell>
          <cell r="F993">
            <v>18600</v>
          </cell>
          <cell r="G993">
            <v>5600</v>
          </cell>
          <cell r="H993">
            <v>2000</v>
          </cell>
          <cell r="I993">
            <v>5500000</v>
          </cell>
          <cell r="J993">
            <v>470000</v>
          </cell>
        </row>
        <row r="994">
          <cell r="A994" t="str">
            <v>0510-00419-01</v>
          </cell>
          <cell r="B994" t="str">
            <v>Upgrade from MC8000 to MC9000 - software only (no8x8)</v>
          </cell>
          <cell r="C994">
            <v>4500</v>
          </cell>
          <cell r="D994">
            <v>3400</v>
          </cell>
          <cell r="E994">
            <v>4100</v>
          </cell>
          <cell r="F994">
            <v>27000</v>
          </cell>
          <cell r="G994">
            <v>8100</v>
          </cell>
          <cell r="H994">
            <v>2900</v>
          </cell>
          <cell r="I994">
            <v>8000000</v>
          </cell>
          <cell r="J994">
            <v>690000</v>
          </cell>
        </row>
        <row r="995">
          <cell r="A995" t="str">
            <v>0510-03120-01</v>
          </cell>
          <cell r="B995" t="str">
            <v>Upgrade from MC900 to MC1000 - software only</v>
          </cell>
          <cell r="C995">
            <v>11800</v>
          </cell>
          <cell r="D995">
            <v>8900</v>
          </cell>
          <cell r="E995">
            <v>10800</v>
          </cell>
          <cell r="F995">
            <v>70900</v>
          </cell>
          <cell r="G995">
            <v>21100</v>
          </cell>
          <cell r="H995">
            <v>7500</v>
          </cell>
          <cell r="I995">
            <v>20900000</v>
          </cell>
          <cell r="J995">
            <v>1800000</v>
          </cell>
        </row>
        <row r="996">
          <cell r="A996" t="str">
            <v>0510-03121-01</v>
          </cell>
          <cell r="B996" t="str">
            <v>Upgrade from MC900 to MC9000 - software only</v>
          </cell>
          <cell r="C996">
            <v>47000</v>
          </cell>
          <cell r="D996">
            <v>35300</v>
          </cell>
          <cell r="E996">
            <v>43100</v>
          </cell>
          <cell r="F996">
            <v>282500</v>
          </cell>
          <cell r="G996">
            <v>84200</v>
          </cell>
          <cell r="H996">
            <v>29800</v>
          </cell>
          <cell r="I996">
            <v>83400000</v>
          </cell>
          <cell r="J996">
            <v>7170000</v>
          </cell>
        </row>
        <row r="997">
          <cell r="B997" t="str">
            <v>Upgrade from Model 900 to MCO- software only</v>
          </cell>
          <cell r="C997">
            <v>2500</v>
          </cell>
          <cell r="D997">
            <v>1900</v>
          </cell>
          <cell r="E997">
            <v>2300</v>
          </cell>
          <cell r="F997">
            <v>15000</v>
          </cell>
          <cell r="G997">
            <v>4500</v>
          </cell>
          <cell r="H997">
            <v>1600</v>
          </cell>
          <cell r="I997">
            <v>4400000</v>
          </cell>
          <cell r="J997">
            <v>380000</v>
          </cell>
        </row>
        <row r="998">
          <cell r="A998" t="str">
            <v>0510-03112-01</v>
          </cell>
          <cell r="B998" t="str">
            <v>Upgrade from Assistant Station to Media Station - software only</v>
          </cell>
          <cell r="C998">
            <v>7250</v>
          </cell>
          <cell r="D998">
            <v>5400</v>
          </cell>
          <cell r="E998">
            <v>6600</v>
          </cell>
          <cell r="F998">
            <v>43600</v>
          </cell>
          <cell r="G998">
            <v>13000</v>
          </cell>
          <cell r="H998">
            <v>4600</v>
          </cell>
          <cell r="I998">
            <v>12900000</v>
          </cell>
          <cell r="J998">
            <v>1110000</v>
          </cell>
        </row>
        <row r="999">
          <cell r="B999" t="str">
            <v>Demo system dongle updater - demos all models inc. 9K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</row>
        <row r="1000">
          <cell r="A1000" t="str">
            <v>0510-03117-01</v>
          </cell>
          <cell r="B1000" t="str">
            <v>Upgrade from Film Composer to MC9000 - software only</v>
          </cell>
          <cell r="C1000">
            <v>25750</v>
          </cell>
          <cell r="D1000">
            <v>19300</v>
          </cell>
          <cell r="E1000">
            <v>23600</v>
          </cell>
          <cell r="F1000">
            <v>154800</v>
          </cell>
          <cell r="G1000">
            <v>46100</v>
          </cell>
          <cell r="H1000">
            <v>16300</v>
          </cell>
          <cell r="I1000">
            <v>45700000</v>
          </cell>
          <cell r="J1000">
            <v>3930000</v>
          </cell>
        </row>
        <row r="1001">
          <cell r="B1001" t="str">
            <v>Upgrade from Model 1K to Film Composer-software only</v>
          </cell>
          <cell r="C1001">
            <v>13680</v>
          </cell>
          <cell r="D1001">
            <v>10300</v>
          </cell>
          <cell r="E1001">
            <v>12500</v>
          </cell>
          <cell r="F1001">
            <v>82200</v>
          </cell>
          <cell r="G1001">
            <v>24500</v>
          </cell>
          <cell r="H1001">
            <v>8700</v>
          </cell>
          <cell r="I1001">
            <v>24300000</v>
          </cell>
          <cell r="J1001">
            <v>2090000</v>
          </cell>
        </row>
        <row r="1002">
          <cell r="A1002" t="str">
            <v>0510-03115-01</v>
          </cell>
          <cell r="B1002" t="str">
            <v>Upgrade from MCO to MC1000 - software only</v>
          </cell>
          <cell r="C1002">
            <v>18900</v>
          </cell>
          <cell r="D1002">
            <v>14200</v>
          </cell>
          <cell r="E1002">
            <v>17300</v>
          </cell>
          <cell r="F1002">
            <v>113600</v>
          </cell>
          <cell r="G1002">
            <v>33900</v>
          </cell>
          <cell r="H1002">
            <v>12000</v>
          </cell>
          <cell r="I1002">
            <v>33500000</v>
          </cell>
          <cell r="J1002">
            <v>2880000</v>
          </cell>
        </row>
        <row r="1003">
          <cell r="A1003" t="str">
            <v>0510-03116-01</v>
          </cell>
          <cell r="B1003" t="str">
            <v>Upgrade from MCO to MC9000 - software only</v>
          </cell>
          <cell r="C1003">
            <v>54000</v>
          </cell>
          <cell r="D1003">
            <v>40500</v>
          </cell>
          <cell r="E1003">
            <v>49500</v>
          </cell>
          <cell r="F1003">
            <v>324600</v>
          </cell>
          <cell r="G1003">
            <v>96800</v>
          </cell>
          <cell r="H1003">
            <v>34200</v>
          </cell>
          <cell r="I1003">
            <v>95800000</v>
          </cell>
          <cell r="J1003">
            <v>8230000</v>
          </cell>
        </row>
        <row r="1004">
          <cell r="A1004" t="str">
            <v>0510-03114-01</v>
          </cell>
          <cell r="B1004" t="str">
            <v>Upgrade from MCO to Film Composer - software only</v>
          </cell>
          <cell r="C1004">
            <v>24100</v>
          </cell>
          <cell r="D1004">
            <v>18100</v>
          </cell>
          <cell r="E1004">
            <v>22100</v>
          </cell>
          <cell r="F1004">
            <v>144800</v>
          </cell>
          <cell r="G1004">
            <v>43200</v>
          </cell>
          <cell r="H1004">
            <v>15300</v>
          </cell>
          <cell r="I1004">
            <v>42800000</v>
          </cell>
          <cell r="J1004">
            <v>3670000</v>
          </cell>
        </row>
        <row r="1005">
          <cell r="A1005" t="str">
            <v>0510-03118-01</v>
          </cell>
          <cell r="B1005" t="str">
            <v>Upgrade from MCX to MC1000 - software only</v>
          </cell>
          <cell r="C1005">
            <v>33800</v>
          </cell>
          <cell r="D1005">
            <v>25400</v>
          </cell>
          <cell r="E1005">
            <v>31000</v>
          </cell>
          <cell r="F1005">
            <v>203100</v>
          </cell>
          <cell r="G1005">
            <v>60600</v>
          </cell>
          <cell r="H1005">
            <v>21400</v>
          </cell>
          <cell r="I1005">
            <v>60000000</v>
          </cell>
          <cell r="J1005">
            <v>5150000</v>
          </cell>
        </row>
        <row r="1006">
          <cell r="A1006" t="str">
            <v>0510-03119-01</v>
          </cell>
          <cell r="B1006" t="str">
            <v>Upgrade from MCX to MC9000 - software only</v>
          </cell>
          <cell r="C1006">
            <v>64600</v>
          </cell>
          <cell r="D1006">
            <v>48500</v>
          </cell>
          <cell r="E1006">
            <v>59200</v>
          </cell>
          <cell r="F1006">
            <v>388300</v>
          </cell>
          <cell r="G1006">
            <v>115800</v>
          </cell>
          <cell r="H1006">
            <v>40900</v>
          </cell>
          <cell r="I1006">
            <v>114600000</v>
          </cell>
          <cell r="J1006">
            <v>9850000</v>
          </cell>
        </row>
        <row r="1007">
          <cell r="A1007" t="str">
            <v>0510-03113-01</v>
          </cell>
          <cell r="B1007" t="str">
            <v>Upgrade from MRT to Media Station - software only</v>
          </cell>
          <cell r="C1007">
            <v>8300</v>
          </cell>
          <cell r="D1007">
            <v>6200</v>
          </cell>
          <cell r="E1007">
            <v>7600</v>
          </cell>
          <cell r="F1007">
            <v>49900</v>
          </cell>
          <cell r="G1007">
            <v>14900</v>
          </cell>
          <cell r="H1007">
            <v>5300</v>
          </cell>
          <cell r="I1007">
            <v>14700000</v>
          </cell>
          <cell r="J1007">
            <v>1270000</v>
          </cell>
        </row>
        <row r="1008">
          <cell r="B1008" t="str">
            <v>Upgrade from MRT to Media Station - software only</v>
          </cell>
          <cell r="C1008">
            <v>8515</v>
          </cell>
          <cell r="D1008">
            <v>6400</v>
          </cell>
          <cell r="E1008">
            <v>7800</v>
          </cell>
          <cell r="F1008">
            <v>51200</v>
          </cell>
          <cell r="G1008">
            <v>15300</v>
          </cell>
          <cell r="H1008">
            <v>5400</v>
          </cell>
          <cell r="I1008">
            <v>15100000</v>
          </cell>
          <cell r="J1008">
            <v>1300000</v>
          </cell>
        </row>
        <row r="1009">
          <cell r="A1009" t="str">
            <v>0505-00007-21</v>
          </cell>
          <cell r="B1009" t="str">
            <v>Upgrade to version 7.1 for model MC 1000- software only</v>
          </cell>
          <cell r="C1009">
            <v>3000</v>
          </cell>
          <cell r="D1009">
            <v>2300</v>
          </cell>
          <cell r="E1009">
            <v>2700</v>
          </cell>
          <cell r="F1009">
            <v>18000</v>
          </cell>
          <cell r="G1009">
            <v>5400</v>
          </cell>
          <cell r="H1009">
            <v>1900</v>
          </cell>
          <cell r="I1009">
            <v>5300000</v>
          </cell>
          <cell r="J1009">
            <v>460000</v>
          </cell>
        </row>
        <row r="1010">
          <cell r="A1010" t="str">
            <v>0505-00006-21</v>
          </cell>
          <cell r="B1010" t="str">
            <v>Upgrade to version 7.1 for model MC 4000- software only</v>
          </cell>
          <cell r="C1010">
            <v>3750</v>
          </cell>
          <cell r="D1010">
            <v>2800</v>
          </cell>
          <cell r="E1010">
            <v>3400</v>
          </cell>
          <cell r="F1010">
            <v>22500</v>
          </cell>
          <cell r="G1010">
            <v>6700</v>
          </cell>
          <cell r="H1010">
            <v>2400</v>
          </cell>
          <cell r="I1010">
            <v>6700000</v>
          </cell>
          <cell r="J1010">
            <v>570000</v>
          </cell>
        </row>
        <row r="1011">
          <cell r="A1011" t="str">
            <v>0505-00005-21</v>
          </cell>
          <cell r="B1011" t="str">
            <v>Upgrade to version 7.1 for model MC 8000- software only</v>
          </cell>
          <cell r="C1011">
            <v>4995</v>
          </cell>
          <cell r="D1011">
            <v>3700</v>
          </cell>
          <cell r="E1011">
            <v>4600</v>
          </cell>
          <cell r="F1011">
            <v>30000</v>
          </cell>
          <cell r="G1011">
            <v>9000</v>
          </cell>
          <cell r="H1011">
            <v>3200</v>
          </cell>
          <cell r="I1011">
            <v>8900000</v>
          </cell>
          <cell r="J1011">
            <v>760000</v>
          </cell>
        </row>
        <row r="1012">
          <cell r="A1012" t="str">
            <v>0505-00008-21</v>
          </cell>
          <cell r="B1012" t="str">
            <v>Upgrade to version 7.1 for model Model 900- software only</v>
          </cell>
          <cell r="C1012">
            <v>2000</v>
          </cell>
          <cell r="D1012">
            <v>1500</v>
          </cell>
          <cell r="E1012">
            <v>1830</v>
          </cell>
          <cell r="F1012">
            <v>12020</v>
          </cell>
          <cell r="G1012">
            <v>3580</v>
          </cell>
          <cell r="H1012">
            <v>1270</v>
          </cell>
          <cell r="I1012">
            <v>3548000</v>
          </cell>
          <cell r="J1012">
            <v>304900</v>
          </cell>
        </row>
        <row r="1013">
          <cell r="A1013" t="str">
            <v>0505-00009-21</v>
          </cell>
          <cell r="B1013" t="str">
            <v>Upgrade to version 7.1 for model Film Composer</v>
          </cell>
          <cell r="C1013">
            <v>3500</v>
          </cell>
          <cell r="D1013">
            <v>2600</v>
          </cell>
          <cell r="E1013">
            <v>3200</v>
          </cell>
          <cell r="F1013">
            <v>21000</v>
          </cell>
          <cell r="G1013">
            <v>6300</v>
          </cell>
          <cell r="H1013">
            <v>2200</v>
          </cell>
          <cell r="I1013">
            <v>6200000</v>
          </cell>
          <cell r="J1013">
            <v>530000</v>
          </cell>
        </row>
        <row r="1014">
          <cell r="A1014" t="str">
            <v>0505-00010-21</v>
          </cell>
          <cell r="B1014" t="str">
            <v>Upgrade to version 7.1 for model MCO- software only</v>
          </cell>
          <cell r="C1014">
            <v>2000</v>
          </cell>
          <cell r="D1014">
            <v>1500</v>
          </cell>
          <cell r="E1014">
            <v>1830</v>
          </cell>
          <cell r="F1014">
            <v>12020</v>
          </cell>
          <cell r="G1014">
            <v>3580</v>
          </cell>
          <cell r="H1014">
            <v>1270</v>
          </cell>
          <cell r="I1014">
            <v>3548000</v>
          </cell>
          <cell r="J1014">
            <v>304900</v>
          </cell>
        </row>
        <row r="1015">
          <cell r="A1015" t="str">
            <v>0505-00011-21</v>
          </cell>
          <cell r="B1015" t="str">
            <v>Upgrade to version 7.1 for model Media Station- software only</v>
          </cell>
          <cell r="C1015">
            <v>2000</v>
          </cell>
          <cell r="D1015">
            <v>1500</v>
          </cell>
          <cell r="E1015">
            <v>1830</v>
          </cell>
          <cell r="F1015">
            <v>12020</v>
          </cell>
          <cell r="G1015">
            <v>3580</v>
          </cell>
          <cell r="H1015">
            <v>1270</v>
          </cell>
          <cell r="I1015">
            <v>3548000</v>
          </cell>
          <cell r="J1015">
            <v>304900</v>
          </cell>
        </row>
        <row r="1016">
          <cell r="B1016" t="str">
            <v>Pro Tools Video Slave Driver</v>
          </cell>
          <cell r="C1016">
            <v>685</v>
          </cell>
          <cell r="D1016">
            <v>510</v>
          </cell>
          <cell r="E1016">
            <v>630</v>
          </cell>
          <cell r="F1016">
            <v>4120</v>
          </cell>
          <cell r="G1016">
            <v>1230</v>
          </cell>
          <cell r="H1016">
            <v>430</v>
          </cell>
          <cell r="I1016">
            <v>1215000</v>
          </cell>
          <cell r="J1016">
            <v>104400</v>
          </cell>
        </row>
        <row r="1017">
          <cell r="B1017" t="str">
            <v>VLX-1SPR Single Serial/Parallel receiver</v>
          </cell>
          <cell r="C1017">
            <v>1500</v>
          </cell>
          <cell r="D1017">
            <v>1130</v>
          </cell>
          <cell r="E1017">
            <v>1370</v>
          </cell>
          <cell r="F1017">
            <v>9020</v>
          </cell>
          <cell r="G1017">
            <v>2690</v>
          </cell>
          <cell r="H1017">
            <v>950</v>
          </cell>
          <cell r="I1017">
            <v>2661000</v>
          </cell>
          <cell r="J1017">
            <v>228700</v>
          </cell>
        </row>
        <row r="1018">
          <cell r="B1018" t="str">
            <v>VLX-DSR Double Serial Receiver</v>
          </cell>
          <cell r="C1018">
            <v>1575</v>
          </cell>
          <cell r="D1018">
            <v>1180</v>
          </cell>
          <cell r="E1018">
            <v>1440</v>
          </cell>
          <cell r="F1018">
            <v>9470</v>
          </cell>
          <cell r="G1018">
            <v>2820</v>
          </cell>
          <cell r="H1018">
            <v>1000</v>
          </cell>
          <cell r="I1018">
            <v>2794000</v>
          </cell>
          <cell r="J1018">
            <v>240100</v>
          </cell>
        </row>
        <row r="1019">
          <cell r="B1019" t="str">
            <v>VLX-RP Rack and Power</v>
          </cell>
          <cell r="C1019">
            <v>650</v>
          </cell>
          <cell r="D1019">
            <v>490</v>
          </cell>
          <cell r="E1019">
            <v>600</v>
          </cell>
          <cell r="F1019">
            <v>3910</v>
          </cell>
          <cell r="G1019">
            <v>1160</v>
          </cell>
          <cell r="H1019">
            <v>410</v>
          </cell>
          <cell r="I1019">
            <v>1153000</v>
          </cell>
          <cell r="J1019">
            <v>99100</v>
          </cell>
        </row>
        <row r="1020">
          <cell r="B1020" t="str">
            <v>VLX-T Transmitter</v>
          </cell>
          <cell r="C1020">
            <v>1220</v>
          </cell>
          <cell r="D1020">
            <v>920</v>
          </cell>
          <cell r="E1020">
            <v>1120</v>
          </cell>
          <cell r="F1020">
            <v>7330</v>
          </cell>
          <cell r="G1020">
            <v>2190</v>
          </cell>
          <cell r="H1020">
            <v>770</v>
          </cell>
          <cell r="I1020">
            <v>2164000</v>
          </cell>
          <cell r="J1020">
            <v>186000</v>
          </cell>
        </row>
        <row r="1021">
          <cell r="B1021" t="str">
            <v>VLX-TCRG T/C Rec Generator</v>
          </cell>
          <cell r="C1021">
            <v>300</v>
          </cell>
          <cell r="D1021">
            <v>230</v>
          </cell>
          <cell r="E1021">
            <v>270</v>
          </cell>
          <cell r="F1021">
            <v>1800</v>
          </cell>
          <cell r="G1021">
            <v>540</v>
          </cell>
          <cell r="H1021">
            <v>190</v>
          </cell>
          <cell r="I1021">
            <v>532000</v>
          </cell>
          <cell r="J1021">
            <v>45700</v>
          </cell>
        </row>
        <row r="1022">
          <cell r="A1022" t="str">
            <v>0070-03028-01</v>
          </cell>
          <cell r="B1022" t="str">
            <v>Wide to Narrow Adaptor/Terminator Kit</v>
          </cell>
          <cell r="C1022">
            <v>265</v>
          </cell>
          <cell r="D1022">
            <v>200</v>
          </cell>
          <cell r="E1022">
            <v>240</v>
          </cell>
          <cell r="F1022">
            <v>1590</v>
          </cell>
          <cell r="G1022">
            <v>470</v>
          </cell>
          <cell r="H1022">
            <v>170</v>
          </cell>
          <cell r="I1022">
            <v>470000</v>
          </cell>
          <cell r="J1022">
            <v>40400</v>
          </cell>
        </row>
        <row r="1023">
          <cell r="A1023" t="str">
            <v>0010-00854-01</v>
          </cell>
          <cell r="B1023" t="str">
            <v>Single Field Resolution for Xpress 2.0 (6s,8s,9s)</v>
          </cell>
          <cell r="C1023">
            <v>4995</v>
          </cell>
          <cell r="D1023">
            <v>3700</v>
          </cell>
          <cell r="E1023">
            <v>4600</v>
          </cell>
          <cell r="F1023">
            <v>30000</v>
          </cell>
          <cell r="G1023">
            <v>9000</v>
          </cell>
          <cell r="H1023">
            <v>3200</v>
          </cell>
          <cell r="I1023">
            <v>8900000</v>
          </cell>
          <cell r="J1023">
            <v>760000</v>
          </cell>
        </row>
        <row r="1024">
          <cell r="A1024" t="str">
            <v>0510-00429-01</v>
          </cell>
          <cell r="B1024" t="str">
            <v>Upgrade from Xpress Deluxe to Xpress Elite Bundle</v>
          </cell>
          <cell r="C1024">
            <v>14000</v>
          </cell>
          <cell r="D1024">
            <v>10500</v>
          </cell>
          <cell r="E1024">
            <v>12800</v>
          </cell>
          <cell r="F1024">
            <v>84100</v>
          </cell>
          <cell r="G1024">
            <v>25100</v>
          </cell>
          <cell r="H1024">
            <v>8900</v>
          </cell>
          <cell r="I1024">
            <v>24800000</v>
          </cell>
          <cell r="J1024">
            <v>2130000</v>
          </cell>
        </row>
        <row r="1025">
          <cell r="A1025" t="str">
            <v>0555-03028-01</v>
          </cell>
          <cell r="B1025" t="str">
            <v>Trade in credit on new XPM Deluxe system or kit</v>
          </cell>
          <cell r="C1025">
            <v>-2000</v>
          </cell>
          <cell r="D1025">
            <v>-1500</v>
          </cell>
          <cell r="E1025">
            <v>-1800</v>
          </cell>
          <cell r="F1025">
            <v>-12000</v>
          </cell>
          <cell r="G1025">
            <v>-3600</v>
          </cell>
          <cell r="H1025">
            <v>-1300</v>
          </cell>
          <cell r="I1025">
            <v>-3500000</v>
          </cell>
          <cell r="J1025">
            <v>-300000</v>
          </cell>
        </row>
        <row r="1026">
          <cell r="A1026" t="str">
            <v>0510-00425-01</v>
          </cell>
          <cell r="B1026" t="str">
            <v>Upgrade from Xpress Standard to Deluxe Bundle</v>
          </cell>
          <cell r="C1026">
            <v>13000</v>
          </cell>
          <cell r="D1026">
            <v>9800</v>
          </cell>
          <cell r="E1026">
            <v>11900</v>
          </cell>
          <cell r="F1026">
            <v>78100</v>
          </cell>
          <cell r="G1026">
            <v>23300</v>
          </cell>
          <cell r="H1026">
            <v>8200</v>
          </cell>
          <cell r="I1026">
            <v>23100000</v>
          </cell>
          <cell r="J1026">
            <v>1980000</v>
          </cell>
        </row>
        <row r="1027">
          <cell r="A1027" t="str">
            <v>0555-03029-01</v>
          </cell>
          <cell r="B1027" t="str">
            <v>Trade in credit on new XPM Elite system or kit</v>
          </cell>
          <cell r="C1027">
            <v>-4000</v>
          </cell>
          <cell r="D1027">
            <v>-3000</v>
          </cell>
          <cell r="E1027">
            <v>-3700</v>
          </cell>
          <cell r="F1027">
            <v>-24000</v>
          </cell>
          <cell r="G1027">
            <v>-7200</v>
          </cell>
          <cell r="H1027">
            <v>-2500</v>
          </cell>
          <cell r="I1027">
            <v>-7100000</v>
          </cell>
          <cell r="J1027">
            <v>-610000</v>
          </cell>
        </row>
        <row r="1028">
          <cell r="A1028" t="str">
            <v>0510-00426-01</v>
          </cell>
          <cell r="B1028" t="str">
            <v>Upgrade from Xpress Standard to Elite Bundle</v>
          </cell>
          <cell r="C1028">
            <v>24000</v>
          </cell>
          <cell r="D1028">
            <v>18000</v>
          </cell>
          <cell r="E1028">
            <v>22000</v>
          </cell>
          <cell r="F1028">
            <v>144200</v>
          </cell>
          <cell r="G1028">
            <v>43000</v>
          </cell>
          <cell r="H1028">
            <v>15200</v>
          </cell>
          <cell r="I1028">
            <v>42600000</v>
          </cell>
          <cell r="J1028">
            <v>3660000</v>
          </cell>
        </row>
        <row r="1029">
          <cell r="B1029" t="str">
            <v>MC/FC/XPM  translated interface - German</v>
          </cell>
          <cell r="C1029">
            <v>695</v>
          </cell>
          <cell r="D1029">
            <v>520</v>
          </cell>
          <cell r="E1029">
            <v>640</v>
          </cell>
          <cell r="F1029">
            <v>4180</v>
          </cell>
          <cell r="G1029">
            <v>1250</v>
          </cell>
          <cell r="H1029">
            <v>440</v>
          </cell>
          <cell r="I1029">
            <v>1233000</v>
          </cell>
          <cell r="J1029">
            <v>106000</v>
          </cell>
        </row>
        <row r="1030">
          <cell r="B1030" t="str">
            <v>MC/FC/XPM  translated interface -  French</v>
          </cell>
          <cell r="C1030">
            <v>695</v>
          </cell>
          <cell r="D1030">
            <v>520</v>
          </cell>
          <cell r="E1030">
            <v>640</v>
          </cell>
          <cell r="F1030">
            <v>4180</v>
          </cell>
          <cell r="G1030">
            <v>1250</v>
          </cell>
          <cell r="H1030">
            <v>440</v>
          </cell>
          <cell r="I1030">
            <v>1233000</v>
          </cell>
          <cell r="J1030">
            <v>106000</v>
          </cell>
        </row>
        <row r="1031">
          <cell r="B1031" t="str">
            <v>MC/FC/XPM  translated interface -  Italian</v>
          </cell>
          <cell r="C1031">
            <v>695</v>
          </cell>
          <cell r="D1031">
            <v>520</v>
          </cell>
          <cell r="E1031">
            <v>640</v>
          </cell>
          <cell r="F1031">
            <v>4180</v>
          </cell>
          <cell r="G1031">
            <v>1250</v>
          </cell>
          <cell r="H1031">
            <v>440</v>
          </cell>
          <cell r="I1031">
            <v>1233000</v>
          </cell>
          <cell r="J1031">
            <v>106000</v>
          </cell>
        </row>
        <row r="1032">
          <cell r="B1032" t="str">
            <v xml:space="preserve">MC/FC/XPM  translated interface - Spanish </v>
          </cell>
          <cell r="C1032">
            <v>695</v>
          </cell>
          <cell r="D1032">
            <v>520</v>
          </cell>
          <cell r="E1032">
            <v>640</v>
          </cell>
          <cell r="F1032">
            <v>4180</v>
          </cell>
          <cell r="G1032">
            <v>1250</v>
          </cell>
          <cell r="H1032">
            <v>440</v>
          </cell>
          <cell r="I1032">
            <v>1233000</v>
          </cell>
          <cell r="J1032">
            <v>106000</v>
          </cell>
        </row>
        <row r="1033">
          <cell r="A1033" t="str">
            <v>0100-00739-01</v>
          </cell>
          <cell r="B1033" t="str">
            <v>Avid Matchback option for  XPress Mac ONLY</v>
          </cell>
          <cell r="C1033">
            <v>3000</v>
          </cell>
          <cell r="D1033">
            <v>2300</v>
          </cell>
          <cell r="E1033">
            <v>2700</v>
          </cell>
          <cell r="F1033">
            <v>18000</v>
          </cell>
          <cell r="G1033">
            <v>5400</v>
          </cell>
          <cell r="H1033">
            <v>1900</v>
          </cell>
          <cell r="I1033">
            <v>5300000</v>
          </cell>
          <cell r="J1033">
            <v>460000</v>
          </cell>
        </row>
        <row r="1034">
          <cell r="A1034" t="str">
            <v>0510-00427-01</v>
          </cell>
          <cell r="B1034" t="str">
            <v>Upgrade from Xpress Plus to Xpress Deluxe Bundle</v>
          </cell>
          <cell r="C1034">
            <v>10000</v>
          </cell>
          <cell r="D1034">
            <v>7500</v>
          </cell>
          <cell r="E1034">
            <v>9200</v>
          </cell>
          <cell r="F1034">
            <v>60100</v>
          </cell>
          <cell r="G1034">
            <v>17900</v>
          </cell>
          <cell r="H1034">
            <v>6300</v>
          </cell>
          <cell r="I1034">
            <v>17700000</v>
          </cell>
          <cell r="J1034">
            <v>1520000</v>
          </cell>
        </row>
        <row r="1035">
          <cell r="A1035" t="str">
            <v>0510-00428-01</v>
          </cell>
          <cell r="B1035" t="str">
            <v>Upgrade from Xpress Plus to Xpress Elite Bundle</v>
          </cell>
          <cell r="C1035">
            <v>21000</v>
          </cell>
          <cell r="D1035">
            <v>15800</v>
          </cell>
          <cell r="E1035">
            <v>19200</v>
          </cell>
          <cell r="F1035">
            <v>126200</v>
          </cell>
          <cell r="G1035">
            <v>37600</v>
          </cell>
          <cell r="H1035">
            <v>13300</v>
          </cell>
          <cell r="I1035">
            <v>37300000</v>
          </cell>
          <cell r="J1035">
            <v>3200000</v>
          </cell>
        </row>
        <row r="1036">
          <cell r="A1036" t="str">
            <v>0555-03027-01</v>
          </cell>
          <cell r="B1036" t="str">
            <v>Trade in credit on new XPM Plus system or kit</v>
          </cell>
          <cell r="C1036">
            <v>-1000</v>
          </cell>
          <cell r="D1036">
            <v>-800</v>
          </cell>
          <cell r="E1036">
            <v>-900</v>
          </cell>
          <cell r="F1036">
            <v>-6000</v>
          </cell>
          <cell r="G1036">
            <v>-1800</v>
          </cell>
          <cell r="H1036">
            <v>-600</v>
          </cell>
          <cell r="I1036">
            <v>-1800000</v>
          </cell>
          <cell r="J1036">
            <v>-150000</v>
          </cell>
        </row>
        <row r="1037">
          <cell r="A1037" t="str">
            <v>0510-00424-01</v>
          </cell>
          <cell r="B1037" t="str">
            <v>Upgrade from Xpress Standard to Plus Bundle</v>
          </cell>
          <cell r="C1037">
            <v>5000</v>
          </cell>
          <cell r="D1037">
            <v>3800</v>
          </cell>
          <cell r="E1037">
            <v>4600</v>
          </cell>
          <cell r="F1037">
            <v>30100</v>
          </cell>
          <cell r="G1037">
            <v>9000</v>
          </cell>
          <cell r="H1037">
            <v>3200</v>
          </cell>
          <cell r="I1037">
            <v>8900000</v>
          </cell>
          <cell r="J1037">
            <v>760000</v>
          </cell>
        </row>
        <row r="1038">
          <cell r="B1038" t="str">
            <v xml:space="preserve">Xpress for Mac Studio Bundle - </v>
          </cell>
          <cell r="C1038">
            <v>900</v>
          </cell>
          <cell r="D1038">
            <v>680</v>
          </cell>
          <cell r="E1038">
            <v>820</v>
          </cell>
          <cell r="F1038">
            <v>5410</v>
          </cell>
          <cell r="G1038">
            <v>1610</v>
          </cell>
          <cell r="H1038">
            <v>570</v>
          </cell>
          <cell r="I1038">
            <v>1597000</v>
          </cell>
          <cell r="J1038">
            <v>137200</v>
          </cell>
        </row>
        <row r="1039">
          <cell r="B1039" t="str">
            <v>Symphony Spares Kit</v>
          </cell>
          <cell r="C1039">
            <v>18450</v>
          </cell>
          <cell r="D1039">
            <v>13800</v>
          </cell>
          <cell r="E1039">
            <v>16900</v>
          </cell>
          <cell r="F1039">
            <v>110900</v>
          </cell>
          <cell r="G1039">
            <v>33100</v>
          </cell>
          <cell r="H1039">
            <v>11700</v>
          </cell>
          <cell r="I1039">
            <v>32700000</v>
          </cell>
          <cell r="J1039">
            <v>2810000</v>
          </cell>
        </row>
        <row r="1040">
          <cell r="B1040" t="str">
            <v>Xpress NT Spares Kit</v>
          </cell>
          <cell r="C1040">
            <v>17683</v>
          </cell>
          <cell r="D1040">
            <v>13300</v>
          </cell>
          <cell r="E1040">
            <v>16200</v>
          </cell>
          <cell r="F1040">
            <v>106300</v>
          </cell>
          <cell r="G1040">
            <v>31700</v>
          </cell>
          <cell r="H1040">
            <v>11200</v>
          </cell>
          <cell r="I1040">
            <v>31400000</v>
          </cell>
          <cell r="J1040">
            <v>2700000</v>
          </cell>
        </row>
        <row r="1041">
          <cell r="B1041" t="str">
            <v>NC-DV Spares Kit</v>
          </cell>
          <cell r="C1041">
            <v>15600</v>
          </cell>
          <cell r="D1041">
            <v>11700</v>
          </cell>
          <cell r="E1041">
            <v>14300</v>
          </cell>
          <cell r="F1041">
            <v>93800</v>
          </cell>
          <cell r="G1041">
            <v>28000</v>
          </cell>
          <cell r="H1041">
            <v>9900</v>
          </cell>
          <cell r="I1041">
            <v>27700000</v>
          </cell>
          <cell r="J1041">
            <v>2380000</v>
          </cell>
        </row>
        <row r="1042">
          <cell r="A1042" t="str">
            <v>0020-03016-01</v>
          </cell>
          <cell r="B1042" t="str">
            <v>rS9 Plus MediaDrive 9GB</v>
          </cell>
          <cell r="C1042">
            <v>1260</v>
          </cell>
          <cell r="D1042">
            <v>900</v>
          </cell>
          <cell r="E1042">
            <v>1200</v>
          </cell>
          <cell r="F1042">
            <v>7600</v>
          </cell>
          <cell r="G1042">
            <v>2300</v>
          </cell>
          <cell r="H1042">
            <v>800</v>
          </cell>
          <cell r="I1042">
            <v>2200000</v>
          </cell>
          <cell r="J1042">
            <v>190000</v>
          </cell>
        </row>
        <row r="1043">
          <cell r="A1043" t="str">
            <v>0020-03017-01</v>
          </cell>
          <cell r="B1043" t="str">
            <v>rS18 Plus MediaDrive 18GB</v>
          </cell>
          <cell r="C1043">
            <v>2020</v>
          </cell>
          <cell r="D1043">
            <v>1500</v>
          </cell>
          <cell r="E1043">
            <v>1900</v>
          </cell>
          <cell r="F1043">
            <v>12100</v>
          </cell>
          <cell r="G1043">
            <v>3600</v>
          </cell>
          <cell r="H1043">
            <v>1300</v>
          </cell>
          <cell r="I1043">
            <v>3600000</v>
          </cell>
          <cell r="J1043">
            <v>310000</v>
          </cell>
        </row>
        <row r="1044">
          <cell r="A1044" t="str">
            <v>0510-03001-01</v>
          </cell>
          <cell r="B1044" t="str">
            <v>Upgrade Xpress NT Delux to Elite</v>
          </cell>
          <cell r="C1044">
            <v>14000</v>
          </cell>
          <cell r="D1044">
            <v>10500</v>
          </cell>
          <cell r="E1044">
            <v>12800</v>
          </cell>
          <cell r="F1044">
            <v>84100</v>
          </cell>
          <cell r="G1044">
            <v>25100</v>
          </cell>
          <cell r="H1044">
            <v>8900</v>
          </cell>
          <cell r="I1044">
            <v>24800000</v>
          </cell>
          <cell r="J1044">
            <v>2130000</v>
          </cell>
        </row>
        <row r="1045">
          <cell r="A1045" t="str">
            <v>0010-03170-01</v>
          </cell>
          <cell r="B1045" t="str">
            <v>NT Kit, Filmscribe Bundle</v>
          </cell>
          <cell r="C1045">
            <v>5500</v>
          </cell>
          <cell r="D1045">
            <v>4100</v>
          </cell>
          <cell r="E1045">
            <v>5000</v>
          </cell>
          <cell r="F1045">
            <v>33100</v>
          </cell>
          <cell r="G1045">
            <v>9900</v>
          </cell>
          <cell r="H1045">
            <v>3500</v>
          </cell>
          <cell r="I1045">
            <v>9800000</v>
          </cell>
          <cell r="J1045">
            <v>840000</v>
          </cell>
        </row>
        <row r="1046">
          <cell r="A1046" t="str">
            <v>0500-03033-01</v>
          </cell>
          <cell r="B1046" t="str">
            <v xml:space="preserve">Prd, Filmscribe NT - standalone </v>
          </cell>
          <cell r="C1046">
            <v>4500</v>
          </cell>
          <cell r="D1046">
            <v>3400</v>
          </cell>
          <cell r="E1046">
            <v>4100</v>
          </cell>
          <cell r="F1046">
            <v>27000</v>
          </cell>
          <cell r="G1046">
            <v>8100</v>
          </cell>
          <cell r="H1046">
            <v>2900</v>
          </cell>
          <cell r="I1046">
            <v>8000000</v>
          </cell>
          <cell r="J1046">
            <v>690000</v>
          </cell>
        </row>
        <row r="1047">
          <cell r="B1047" t="str">
            <v>MediaComposer advanced and 3D effects : 3 days</v>
          </cell>
          <cell r="C1047">
            <v>1275</v>
          </cell>
          <cell r="D1047">
            <v>960</v>
          </cell>
          <cell r="E1047">
            <v>1130</v>
          </cell>
          <cell r="F1047">
            <v>7460</v>
          </cell>
          <cell r="G1047">
            <v>2220</v>
          </cell>
          <cell r="H1047">
            <v>810</v>
          </cell>
          <cell r="I1047">
            <v>2199000</v>
          </cell>
          <cell r="J1047">
            <v>188700</v>
          </cell>
        </row>
        <row r="1048">
          <cell r="B1048" t="str">
            <v>MediaComposer advanced and 3D effects : 3 days</v>
          </cell>
          <cell r="C1048">
            <v>5100</v>
          </cell>
          <cell r="D1048">
            <v>3800</v>
          </cell>
          <cell r="E1048">
            <v>4700</v>
          </cell>
          <cell r="F1048">
            <v>30700</v>
          </cell>
          <cell r="G1048">
            <v>9100</v>
          </cell>
          <cell r="H1048">
            <v>3200</v>
          </cell>
          <cell r="I1048">
            <v>9000000</v>
          </cell>
          <cell r="J1048">
            <v>780000</v>
          </cell>
        </row>
        <row r="1049">
          <cell r="A1049" t="str">
            <v>0100-03041-21</v>
          </cell>
          <cell r="B1049" t="str">
            <v>MAC OS 8.1 - all languages G3</v>
          </cell>
          <cell r="C1049">
            <v>160</v>
          </cell>
          <cell r="D1049">
            <v>160</v>
          </cell>
          <cell r="E1049">
            <v>100</v>
          </cell>
          <cell r="F1049">
            <v>1000</v>
          </cell>
          <cell r="G1049">
            <v>300</v>
          </cell>
          <cell r="H1049">
            <v>100</v>
          </cell>
          <cell r="I1049">
            <v>300000</v>
          </cell>
          <cell r="J1049">
            <v>20000</v>
          </cell>
        </row>
        <row r="1050">
          <cell r="A1050" t="str">
            <v>0010-03137-01</v>
          </cell>
          <cell r="B1050" t="str">
            <v>SoftImage DS Software/Doc, PAL NFR Kit</v>
          </cell>
          <cell r="C1050">
            <v>300</v>
          </cell>
          <cell r="D1050">
            <v>230</v>
          </cell>
          <cell r="E1050">
            <v>270</v>
          </cell>
          <cell r="F1050">
            <v>1800</v>
          </cell>
          <cell r="G1050">
            <v>540</v>
          </cell>
          <cell r="H1050">
            <v>190</v>
          </cell>
          <cell r="I1050">
            <v>532000</v>
          </cell>
          <cell r="J1050">
            <v>45700</v>
          </cell>
        </row>
        <row r="1051">
          <cell r="A1051" t="str">
            <v>0500-03041-21</v>
          </cell>
          <cell r="B1051" t="str">
            <v>Avid Xpress Base System - G3 based</v>
          </cell>
          <cell r="C1051">
            <v>17000</v>
          </cell>
          <cell r="D1051">
            <v>12800</v>
          </cell>
          <cell r="E1051">
            <v>15600</v>
          </cell>
          <cell r="F1051">
            <v>102200</v>
          </cell>
          <cell r="G1051">
            <v>30500</v>
          </cell>
          <cell r="H1051">
            <v>10800</v>
          </cell>
          <cell r="I1051">
            <v>30200000</v>
          </cell>
          <cell r="J1051">
            <v>2590000</v>
          </cell>
        </row>
        <row r="1052">
          <cell r="A1052" t="str">
            <v>0010-03131-01</v>
          </cell>
          <cell r="B1052" t="str">
            <v>SoftImage DS 2.1 RT 2x21" Mon, PAL - DEMO</v>
          </cell>
          <cell r="C1052">
            <v>102000</v>
          </cell>
          <cell r="D1052">
            <v>76500</v>
          </cell>
          <cell r="E1052">
            <v>93500</v>
          </cell>
          <cell r="F1052">
            <v>613000</v>
          </cell>
          <cell r="G1052">
            <v>182800</v>
          </cell>
          <cell r="H1052">
            <v>64600</v>
          </cell>
          <cell r="I1052">
            <v>181000000</v>
          </cell>
          <cell r="J1052">
            <v>15550000</v>
          </cell>
        </row>
        <row r="1053">
          <cell r="A1053" t="str">
            <v>0010-03134-01</v>
          </cell>
          <cell r="B1053" t="str">
            <v>SoftImage DS 2.1 RT 1x24" Mon, PAL - DEMO</v>
          </cell>
          <cell r="C1053">
            <v>102000</v>
          </cell>
          <cell r="D1053">
            <v>76500</v>
          </cell>
          <cell r="E1053">
            <v>93500</v>
          </cell>
          <cell r="F1053">
            <v>613000</v>
          </cell>
          <cell r="G1053">
            <v>182800</v>
          </cell>
          <cell r="H1053">
            <v>64600</v>
          </cell>
          <cell r="I1053">
            <v>181000000</v>
          </cell>
          <cell r="J1053">
            <v>15550000</v>
          </cell>
        </row>
        <row r="1054">
          <cell r="A1054" t="str">
            <v>0505-00119-22</v>
          </cell>
          <cell r="B1054" t="str">
            <v>SoftImage DS software, PAL Educational Institution</v>
          </cell>
          <cell r="C1054">
            <v>40000</v>
          </cell>
          <cell r="D1054">
            <v>30000</v>
          </cell>
          <cell r="E1054">
            <v>36600</v>
          </cell>
          <cell r="F1054">
            <v>240400</v>
          </cell>
          <cell r="G1054">
            <v>71700</v>
          </cell>
          <cell r="H1054">
            <v>25400</v>
          </cell>
          <cell r="I1054">
            <v>71000000</v>
          </cell>
          <cell r="J1054">
            <v>6100000</v>
          </cell>
        </row>
        <row r="1055">
          <cell r="A1055" t="str">
            <v>0010-00768-01</v>
          </cell>
          <cell r="B1055" t="str">
            <v>Fibre Channel Client Kit - Board &amp; S/W - No Cable</v>
          </cell>
          <cell r="C1055">
            <v>1495</v>
          </cell>
          <cell r="D1055">
            <v>1100</v>
          </cell>
          <cell r="E1055">
            <v>1400</v>
          </cell>
          <cell r="F1055">
            <v>9000</v>
          </cell>
          <cell r="G1055">
            <v>2700</v>
          </cell>
          <cell r="H1055">
            <v>900</v>
          </cell>
          <cell r="I1055">
            <v>2700000</v>
          </cell>
          <cell r="J1055">
            <v>230000</v>
          </cell>
        </row>
        <row r="1056">
          <cell r="A1056" t="str">
            <v>0010-03028-01</v>
          </cell>
          <cell r="B1056" t="str">
            <v>108GB Desk side MEDIArray</v>
          </cell>
          <cell r="C1056">
            <v>17377</v>
          </cell>
          <cell r="D1056">
            <v>13000</v>
          </cell>
          <cell r="E1056">
            <v>15900</v>
          </cell>
          <cell r="F1056">
            <v>104400</v>
          </cell>
          <cell r="G1056">
            <v>31100</v>
          </cell>
          <cell r="H1056">
            <v>11000</v>
          </cell>
          <cell r="I1056">
            <v>30800000</v>
          </cell>
          <cell r="J1056">
            <v>2650000</v>
          </cell>
        </row>
        <row r="1057">
          <cell r="B1057" t="str">
            <v>Rack mount rails for 3D module</v>
          </cell>
          <cell r="C1057">
            <v>200</v>
          </cell>
          <cell r="D1057">
            <v>150</v>
          </cell>
          <cell r="E1057">
            <v>180</v>
          </cell>
          <cell r="F1057">
            <v>1200</v>
          </cell>
          <cell r="G1057">
            <v>360</v>
          </cell>
          <cell r="H1057">
            <v>130</v>
          </cell>
          <cell r="I1057">
            <v>355000</v>
          </cell>
          <cell r="J1057">
            <v>30500</v>
          </cell>
        </row>
        <row r="1058">
          <cell r="A1058" t="str">
            <v>0090-00353-02</v>
          </cell>
          <cell r="B1058" t="str">
            <v>G3, 333MHZ, 192MB, ZIP, CPU only</v>
          </cell>
          <cell r="C1058">
            <v>5500</v>
          </cell>
          <cell r="D1058">
            <v>4100</v>
          </cell>
          <cell r="E1058">
            <v>5000</v>
          </cell>
          <cell r="F1058">
            <v>33100</v>
          </cell>
          <cell r="G1058">
            <v>9900</v>
          </cell>
          <cell r="H1058">
            <v>3500</v>
          </cell>
          <cell r="I1058">
            <v>9800000</v>
          </cell>
          <cell r="J1058">
            <v>840000</v>
          </cell>
        </row>
        <row r="1059">
          <cell r="A1059" t="str">
            <v>0010-03216-01</v>
          </cell>
          <cell r="B1059" t="str">
            <v>Avid Unity/ MEDIAswitch KIT for Mediashare FC</v>
          </cell>
          <cell r="C1059">
            <v>18695</v>
          </cell>
          <cell r="D1059">
            <v>14000</v>
          </cell>
          <cell r="E1059">
            <v>17100</v>
          </cell>
          <cell r="F1059">
            <v>112400</v>
          </cell>
          <cell r="G1059">
            <v>33500</v>
          </cell>
          <cell r="H1059">
            <v>11800</v>
          </cell>
          <cell r="I1059">
            <v>33200000</v>
          </cell>
          <cell r="J1059">
            <v>2850000</v>
          </cell>
        </row>
        <row r="1060">
          <cell r="A1060" t="str">
            <v>0080-00141-21</v>
          </cell>
          <cell r="B1060" t="str">
            <v>MSDE Link Control Card</v>
          </cell>
          <cell r="C1060">
            <v>0</v>
          </cell>
          <cell r="D1060">
            <v>0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</row>
        <row r="1061">
          <cell r="A1061" t="str">
            <v>0510-03024-01</v>
          </cell>
          <cell r="B1061" t="str">
            <v>Upgrade Xpress NT Delux to Elite</v>
          </cell>
          <cell r="C1061">
            <v>18000</v>
          </cell>
          <cell r="D1061">
            <v>13500</v>
          </cell>
          <cell r="E1061">
            <v>16500</v>
          </cell>
          <cell r="F1061">
            <v>108200</v>
          </cell>
          <cell r="G1061">
            <v>32300</v>
          </cell>
          <cell r="H1061">
            <v>11400</v>
          </cell>
          <cell r="I1061">
            <v>31900000</v>
          </cell>
          <cell r="J1061">
            <v>2740000</v>
          </cell>
        </row>
        <row r="1062">
          <cell r="A1062" t="str">
            <v>0500-03049-21</v>
          </cell>
          <cell r="B1062" t="str">
            <v>Xpress for NT Plus System</v>
          </cell>
          <cell r="C1062">
            <v>17499</v>
          </cell>
          <cell r="D1062">
            <v>13100</v>
          </cell>
          <cell r="E1062">
            <v>16000</v>
          </cell>
          <cell r="F1062">
            <v>105200</v>
          </cell>
          <cell r="G1062">
            <v>31400</v>
          </cell>
          <cell r="H1062">
            <v>11100</v>
          </cell>
          <cell r="I1062">
            <v>31000000</v>
          </cell>
          <cell r="J1062">
            <v>2670000</v>
          </cell>
        </row>
        <row r="1063">
          <cell r="A1063" t="str">
            <v>0500-03047-21</v>
          </cell>
          <cell r="B1063" t="str">
            <v>MC Offline XL for NT</v>
          </cell>
          <cell r="C1063">
            <v>47500</v>
          </cell>
          <cell r="D1063">
            <v>35600</v>
          </cell>
          <cell r="E1063">
            <v>43500</v>
          </cell>
          <cell r="F1063">
            <v>285500</v>
          </cell>
          <cell r="G1063">
            <v>85100</v>
          </cell>
          <cell r="H1063">
            <v>30100</v>
          </cell>
          <cell r="I1063">
            <v>84300000</v>
          </cell>
          <cell r="J1063">
            <v>7240000</v>
          </cell>
        </row>
        <row r="1064">
          <cell r="A1064" t="str">
            <v>0500-03048-21</v>
          </cell>
          <cell r="B1064" t="str">
            <v>MC 1000 XL for NT</v>
          </cell>
          <cell r="C1064">
            <v>67500</v>
          </cell>
          <cell r="D1064">
            <v>50600</v>
          </cell>
          <cell r="E1064">
            <v>61800</v>
          </cell>
          <cell r="F1064">
            <v>405700</v>
          </cell>
          <cell r="G1064">
            <v>121000</v>
          </cell>
          <cell r="H1064">
            <v>42800</v>
          </cell>
          <cell r="I1064">
            <v>119800000</v>
          </cell>
          <cell r="J1064">
            <v>10290000</v>
          </cell>
        </row>
        <row r="1065">
          <cell r="A1065" t="str">
            <v>0010-03199-01</v>
          </cell>
          <cell r="B1065" t="str">
            <v>Effects Package for NT, inc 3D, Intraframe, Illusion RGB, 24 Videa Tracks &amp;  2:1 resolution</v>
          </cell>
          <cell r="C1065">
            <v>12500</v>
          </cell>
          <cell r="D1065">
            <v>9400</v>
          </cell>
          <cell r="E1065">
            <v>11500</v>
          </cell>
          <cell r="F1065">
            <v>75100</v>
          </cell>
          <cell r="G1065">
            <v>22400</v>
          </cell>
          <cell r="H1065">
            <v>7900</v>
          </cell>
          <cell r="I1065">
            <v>22200000</v>
          </cell>
          <cell r="J1065">
            <v>1910000</v>
          </cell>
        </row>
        <row r="1066">
          <cell r="A1066" t="str">
            <v>0100-03112-01</v>
          </cell>
          <cell r="B1066" t="str">
            <v>1:1 Single Stream Video Option NT</v>
          </cell>
          <cell r="C1066">
            <v>5000</v>
          </cell>
          <cell r="D1066">
            <v>3800</v>
          </cell>
          <cell r="E1066">
            <v>4600</v>
          </cell>
          <cell r="F1066">
            <v>30100</v>
          </cell>
          <cell r="G1066">
            <v>9000</v>
          </cell>
          <cell r="H1066">
            <v>3200</v>
          </cell>
          <cell r="I1066">
            <v>8900000</v>
          </cell>
          <cell r="J1066">
            <v>760000</v>
          </cell>
        </row>
        <row r="1067">
          <cell r="A1067" t="str">
            <v>0100-03113-01</v>
          </cell>
          <cell r="B1067" t="str">
            <v xml:space="preserve">1:1 Two Stream Option </v>
          </cell>
          <cell r="C1067">
            <v>10000</v>
          </cell>
          <cell r="D1067">
            <v>7500</v>
          </cell>
          <cell r="E1067">
            <v>9200</v>
          </cell>
          <cell r="F1067">
            <v>60100</v>
          </cell>
          <cell r="G1067">
            <v>17900</v>
          </cell>
          <cell r="H1067">
            <v>6300</v>
          </cell>
          <cell r="I1067">
            <v>17700000</v>
          </cell>
          <cell r="J1067">
            <v>1520000</v>
          </cell>
        </row>
        <row r="1068">
          <cell r="A1068" t="str">
            <v>0100-03117-01</v>
          </cell>
          <cell r="B1068" t="str">
            <v>Intraframe Editing Option for NT</v>
          </cell>
          <cell r="D1068">
            <v>0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</row>
        <row r="1069">
          <cell r="A1069" t="str">
            <v>0100-03118-01</v>
          </cell>
          <cell r="B1069" t="str">
            <v xml:space="preserve">3D FX software option for NT </v>
          </cell>
          <cell r="D1069">
            <v>0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</row>
        <row r="1070">
          <cell r="A1070" t="str">
            <v>0010-03202-01</v>
          </cell>
          <cell r="B1070" t="str">
            <v>Effects Package for MAC, inc 3D, Intraframe, Illusion RGB, 24 Video Tracks &amp;  2:1 resolution</v>
          </cell>
          <cell r="C1070">
            <v>12500</v>
          </cell>
          <cell r="D1070">
            <v>9400</v>
          </cell>
          <cell r="E1070">
            <v>11500</v>
          </cell>
          <cell r="F1070">
            <v>75100</v>
          </cell>
          <cell r="G1070">
            <v>22400</v>
          </cell>
          <cell r="H1070">
            <v>7900</v>
          </cell>
          <cell r="I1070">
            <v>22200000</v>
          </cell>
          <cell r="J1070">
            <v>1910000</v>
          </cell>
        </row>
        <row r="1071">
          <cell r="A1071" t="str">
            <v>0100-03121-01</v>
          </cell>
          <cell r="B1071" t="str">
            <v>1:1 Single Stream Option for Mac</v>
          </cell>
          <cell r="C1071">
            <v>5000</v>
          </cell>
          <cell r="D1071">
            <v>3800</v>
          </cell>
          <cell r="E1071">
            <v>4600</v>
          </cell>
          <cell r="F1071">
            <v>30100</v>
          </cell>
          <cell r="G1071">
            <v>9000</v>
          </cell>
          <cell r="H1071">
            <v>3200</v>
          </cell>
          <cell r="I1071">
            <v>8900000</v>
          </cell>
          <cell r="J1071">
            <v>760000</v>
          </cell>
        </row>
        <row r="1072">
          <cell r="A1072" t="str">
            <v>0100-03122-01</v>
          </cell>
          <cell r="B1072" t="str">
            <v>24 Video Tracks Option</v>
          </cell>
          <cell r="D1072">
            <v>0</v>
          </cell>
          <cell r="E1072">
            <v>0</v>
          </cell>
          <cell r="F1072">
            <v>0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</row>
        <row r="1073">
          <cell r="A1073" t="str">
            <v>0560-03073-21</v>
          </cell>
          <cell r="B1073" t="str">
            <v>Upgrade From MC8000 To Symphony (Q199 only) Credit</v>
          </cell>
          <cell r="C1073">
            <v>-52000</v>
          </cell>
          <cell r="D1073">
            <v>-39000</v>
          </cell>
          <cell r="E1073">
            <v>-47600</v>
          </cell>
          <cell r="F1073">
            <v>-312500</v>
          </cell>
          <cell r="G1073">
            <v>-93200</v>
          </cell>
          <cell r="H1073">
            <v>-33000</v>
          </cell>
          <cell r="I1073">
            <v>-92300000</v>
          </cell>
          <cell r="J1073">
            <v>-7930000</v>
          </cell>
        </row>
        <row r="1074">
          <cell r="A1074" t="str">
            <v>0560-03072-21</v>
          </cell>
          <cell r="B1074" t="str">
            <v>Upgrade From MC9000 To Symphony (Q199 only) Credit</v>
          </cell>
          <cell r="C1074">
            <v>-69000</v>
          </cell>
          <cell r="D1074">
            <v>-51800</v>
          </cell>
          <cell r="E1074">
            <v>-63200</v>
          </cell>
          <cell r="F1074">
            <v>-414700</v>
          </cell>
          <cell r="G1074">
            <v>-123600</v>
          </cell>
          <cell r="H1074">
            <v>-43700</v>
          </cell>
          <cell r="I1074">
            <v>-122400000</v>
          </cell>
          <cell r="J1074">
            <v>-10520000</v>
          </cell>
        </row>
        <row r="1075">
          <cell r="A1075" t="str">
            <v>0560-03075-21</v>
          </cell>
          <cell r="B1075" t="str">
            <v>Downgrade To MCO And Purchase Symphony</v>
          </cell>
          <cell r="C1075">
            <v>-47000</v>
          </cell>
          <cell r="D1075">
            <v>-35300</v>
          </cell>
          <cell r="E1075">
            <v>-43100</v>
          </cell>
          <cell r="F1075">
            <v>-282500</v>
          </cell>
          <cell r="G1075">
            <v>-84200</v>
          </cell>
          <cell r="H1075">
            <v>-29800</v>
          </cell>
          <cell r="I1075">
            <v>-83400000</v>
          </cell>
          <cell r="J1075">
            <v>-7170000</v>
          </cell>
        </row>
        <row r="1076">
          <cell r="A1076" t="str">
            <v>0560-03074-21</v>
          </cell>
          <cell r="B1076" t="str">
            <v>Downgrade To MCO And Purchase Symphony</v>
          </cell>
          <cell r="C1076">
            <v>-64000</v>
          </cell>
          <cell r="D1076">
            <v>-48000</v>
          </cell>
          <cell r="E1076">
            <v>-58600</v>
          </cell>
          <cell r="F1076">
            <v>-384700</v>
          </cell>
          <cell r="G1076">
            <v>-114700</v>
          </cell>
          <cell r="H1076">
            <v>-40600</v>
          </cell>
          <cell r="I1076">
            <v>-113500000</v>
          </cell>
          <cell r="J1076">
            <v>-9760000</v>
          </cell>
        </row>
        <row r="1077">
          <cell r="A1077" t="str">
            <v>0070-00416-01</v>
          </cell>
          <cell r="B1077" t="str">
            <v>Xpress for Mac bin Multi-res Bin Mon. Cable</v>
          </cell>
          <cell r="C1077">
            <v>60</v>
          </cell>
          <cell r="D1077">
            <v>50</v>
          </cell>
          <cell r="E1077">
            <v>50</v>
          </cell>
          <cell r="F1077">
            <v>350</v>
          </cell>
          <cell r="G1077">
            <v>100</v>
          </cell>
          <cell r="H1077">
            <v>40</v>
          </cell>
          <cell r="I1077">
            <v>103000</v>
          </cell>
          <cell r="J1077">
            <v>8900</v>
          </cell>
        </row>
        <row r="1078">
          <cell r="A1078" t="str">
            <v>0500-01861-22</v>
          </cell>
          <cell r="B1078" t="str">
            <v>Xpress for NT Elite demo system</v>
          </cell>
          <cell r="C1078">
            <v>42933</v>
          </cell>
          <cell r="D1078">
            <v>32200</v>
          </cell>
          <cell r="E1078">
            <v>39300</v>
          </cell>
          <cell r="F1078">
            <v>258000</v>
          </cell>
          <cell r="G1078">
            <v>76900</v>
          </cell>
          <cell r="H1078">
            <v>27200</v>
          </cell>
          <cell r="I1078">
            <v>76200000</v>
          </cell>
          <cell r="J1078">
            <v>6550000</v>
          </cell>
        </row>
        <row r="1079">
          <cell r="A1079" t="str">
            <v>0560-03080-01</v>
          </cell>
          <cell r="B1079" t="str">
            <v xml:space="preserve">Trade-in discount on MCX to XPNT Plus </v>
          </cell>
          <cell r="C1079">
            <v>-1000</v>
          </cell>
          <cell r="D1079">
            <v>-800</v>
          </cell>
          <cell r="E1079">
            <v>-900</v>
          </cell>
          <cell r="F1079">
            <v>-6000</v>
          </cell>
          <cell r="G1079">
            <v>-1800</v>
          </cell>
          <cell r="H1079">
            <v>-600</v>
          </cell>
          <cell r="I1079">
            <v>-1800000</v>
          </cell>
          <cell r="J1079">
            <v>-150000</v>
          </cell>
        </row>
        <row r="1080">
          <cell r="A1080" t="str">
            <v>0560-03081-01</v>
          </cell>
          <cell r="B1080" t="str">
            <v xml:space="preserve">Trade-in discount MCX-RT to XPNT Plus, 16x9 FOC </v>
          </cell>
          <cell r="C1080">
            <v>-2500</v>
          </cell>
          <cell r="D1080">
            <v>-1900</v>
          </cell>
          <cell r="E1080">
            <v>-2300</v>
          </cell>
          <cell r="F1080">
            <v>-15000</v>
          </cell>
          <cell r="G1080">
            <v>-4500</v>
          </cell>
          <cell r="H1080">
            <v>-1600</v>
          </cell>
          <cell r="I1080">
            <v>-4400000</v>
          </cell>
          <cell r="J1080">
            <v>-380000</v>
          </cell>
        </row>
        <row r="1081">
          <cell r="A1081" t="str">
            <v>0560-03082-01</v>
          </cell>
          <cell r="B1081" t="str">
            <v xml:space="preserve">Trade-in discount MCX-RT to XPNT Plus, FilmScribe FOC </v>
          </cell>
          <cell r="C1081">
            <v>-1000</v>
          </cell>
          <cell r="D1081">
            <v>-800</v>
          </cell>
          <cell r="E1081">
            <v>-900</v>
          </cell>
          <cell r="F1081">
            <v>-6000</v>
          </cell>
          <cell r="G1081">
            <v>-1800</v>
          </cell>
          <cell r="H1081">
            <v>-600</v>
          </cell>
          <cell r="I1081">
            <v>-1800000</v>
          </cell>
          <cell r="J1081">
            <v>-150000</v>
          </cell>
        </row>
        <row r="1082">
          <cell r="A1082" t="str">
            <v>0560-03057-03</v>
          </cell>
          <cell r="B1082" t="str">
            <v xml:space="preserve">Trade-in discount on MSP to XPNT Plus </v>
          </cell>
          <cell r="C1082">
            <v>-1000</v>
          </cell>
          <cell r="D1082">
            <v>-800</v>
          </cell>
          <cell r="E1082">
            <v>-900</v>
          </cell>
          <cell r="F1082">
            <v>-6000</v>
          </cell>
          <cell r="G1082">
            <v>-1800</v>
          </cell>
          <cell r="H1082">
            <v>-600</v>
          </cell>
          <cell r="I1082">
            <v>-1800000</v>
          </cell>
          <cell r="J1082">
            <v>-150000</v>
          </cell>
        </row>
        <row r="1083">
          <cell r="A1083" t="str">
            <v>0010-00854-01</v>
          </cell>
          <cell r="B1083" t="str">
            <v>Single Field CD Resolution for Xpress 2.0 (6s,8s,9s)</v>
          </cell>
          <cell r="C1083">
            <v>4995</v>
          </cell>
          <cell r="D1083">
            <v>3700</v>
          </cell>
          <cell r="E1083">
            <v>4600</v>
          </cell>
          <cell r="F1083">
            <v>30000</v>
          </cell>
          <cell r="G1083">
            <v>9000</v>
          </cell>
          <cell r="H1083">
            <v>3200</v>
          </cell>
          <cell r="I1083">
            <v>8900000</v>
          </cell>
          <cell r="J1083">
            <v>760000</v>
          </cell>
        </row>
        <row r="1084">
          <cell r="A1084" t="str">
            <v>0100-00739-01</v>
          </cell>
          <cell r="B1084" t="str">
            <v>Avid Matchback option for  XPress Mac ONLY</v>
          </cell>
          <cell r="C1084">
            <v>3000</v>
          </cell>
          <cell r="D1084">
            <v>2300</v>
          </cell>
          <cell r="E1084">
            <v>2700</v>
          </cell>
          <cell r="F1084">
            <v>18000</v>
          </cell>
          <cell r="G1084">
            <v>5400</v>
          </cell>
          <cell r="H1084">
            <v>1900</v>
          </cell>
          <cell r="I1084">
            <v>5300000</v>
          </cell>
          <cell r="J1084">
            <v>460000</v>
          </cell>
        </row>
        <row r="1085">
          <cell r="A1085" t="str">
            <v>0560-03113-01</v>
          </cell>
          <cell r="B1085" t="str">
            <v>Upgrade, Symphony 1.0 to Symphony 2.0</v>
          </cell>
          <cell r="C1085">
            <v>10000</v>
          </cell>
          <cell r="D1085">
            <v>7500</v>
          </cell>
          <cell r="E1085">
            <v>9200</v>
          </cell>
          <cell r="F1085">
            <v>60100</v>
          </cell>
          <cell r="G1085">
            <v>17900</v>
          </cell>
          <cell r="H1085">
            <v>6300</v>
          </cell>
          <cell r="I1085">
            <v>17700000</v>
          </cell>
          <cell r="J1085">
            <v>1520000</v>
          </cell>
        </row>
        <row r="1086">
          <cell r="A1086" t="str">
            <v>0010-03170-02</v>
          </cell>
          <cell r="B1086" t="str">
            <v>MAC Kit, Filmscribe/Matchback S/W bundle</v>
          </cell>
          <cell r="C1086">
            <v>5500</v>
          </cell>
          <cell r="D1086">
            <v>4100</v>
          </cell>
          <cell r="E1086">
            <v>5000</v>
          </cell>
          <cell r="F1086">
            <v>33100</v>
          </cell>
          <cell r="G1086">
            <v>9900</v>
          </cell>
          <cell r="H1086">
            <v>3500</v>
          </cell>
          <cell r="I1086">
            <v>9800000</v>
          </cell>
          <cell r="J1086">
            <v>840000</v>
          </cell>
        </row>
        <row r="1087">
          <cell r="A1087" t="str">
            <v>0510-03027-01</v>
          </cell>
          <cell r="B1087" t="str">
            <v xml:space="preserve">System UPG Nubus MC400/800 to MCO XL MAC </v>
          </cell>
          <cell r="C1087">
            <v>32495</v>
          </cell>
          <cell r="D1087">
            <v>24400</v>
          </cell>
          <cell r="E1087">
            <v>29800</v>
          </cell>
          <cell r="F1087">
            <v>195300</v>
          </cell>
          <cell r="G1087">
            <v>58200</v>
          </cell>
          <cell r="H1087">
            <v>20600</v>
          </cell>
          <cell r="I1087">
            <v>57600000</v>
          </cell>
          <cell r="J1087">
            <v>4950000</v>
          </cell>
        </row>
        <row r="1088">
          <cell r="A1088" t="str">
            <v>0510-03028-01</v>
          </cell>
          <cell r="B1088" t="str">
            <v>System UPG Nubus MC 400/800 to MCO XL NT</v>
          </cell>
          <cell r="C1088">
            <v>32495</v>
          </cell>
          <cell r="D1088">
            <v>24400</v>
          </cell>
          <cell r="E1088">
            <v>29800</v>
          </cell>
          <cell r="F1088">
            <v>195300</v>
          </cell>
          <cell r="G1088">
            <v>58200</v>
          </cell>
          <cell r="H1088">
            <v>20600</v>
          </cell>
          <cell r="I1088">
            <v>57600000</v>
          </cell>
          <cell r="J1088">
            <v>4950000</v>
          </cell>
        </row>
        <row r="1089">
          <cell r="A1089" t="str">
            <v>0510-03029-01</v>
          </cell>
          <cell r="B1089" t="str">
            <v>System UPG Nubus MC 400/800 to MC1000XL MAC</v>
          </cell>
          <cell r="C1089">
            <v>39995</v>
          </cell>
          <cell r="D1089">
            <v>30000</v>
          </cell>
          <cell r="E1089">
            <v>36600</v>
          </cell>
          <cell r="F1089">
            <v>240400</v>
          </cell>
          <cell r="G1089">
            <v>71700</v>
          </cell>
          <cell r="H1089">
            <v>25300</v>
          </cell>
          <cell r="I1089">
            <v>71000000</v>
          </cell>
          <cell r="J1089">
            <v>6100000</v>
          </cell>
        </row>
        <row r="1090">
          <cell r="A1090" t="str">
            <v>0510-03030-01</v>
          </cell>
          <cell r="B1090" t="str">
            <v>System UPG Nubus MC 400/800 to MC1000XL NT</v>
          </cell>
          <cell r="C1090">
            <v>39995</v>
          </cell>
          <cell r="D1090">
            <v>30000</v>
          </cell>
          <cell r="E1090">
            <v>36600</v>
          </cell>
          <cell r="F1090">
            <v>240400</v>
          </cell>
          <cell r="G1090">
            <v>71700</v>
          </cell>
          <cell r="H1090">
            <v>25300</v>
          </cell>
          <cell r="I1090">
            <v>71000000</v>
          </cell>
          <cell r="J1090">
            <v>6100000</v>
          </cell>
        </row>
        <row r="1091">
          <cell r="A1091" t="str">
            <v>0510-03031-01</v>
          </cell>
          <cell r="B1091" t="str">
            <v>System UPG Nubus MC 900 to MC1000 XL MAC</v>
          </cell>
          <cell r="C1091">
            <v>34995</v>
          </cell>
          <cell r="D1091">
            <v>26200</v>
          </cell>
          <cell r="E1091">
            <v>32100</v>
          </cell>
          <cell r="F1091">
            <v>210300</v>
          </cell>
          <cell r="G1091">
            <v>62700</v>
          </cell>
          <cell r="H1091">
            <v>22200</v>
          </cell>
          <cell r="I1091">
            <v>62100000</v>
          </cell>
          <cell r="J1091">
            <v>5340000</v>
          </cell>
        </row>
        <row r="1092">
          <cell r="A1092" t="str">
            <v>0510-03032-01</v>
          </cell>
          <cell r="B1092" t="str">
            <v>System UPG Nubus MC 900 to MC1000 XL NT</v>
          </cell>
          <cell r="C1092">
            <v>34995</v>
          </cell>
          <cell r="D1092">
            <v>26200</v>
          </cell>
          <cell r="E1092">
            <v>32100</v>
          </cell>
          <cell r="F1092">
            <v>210300</v>
          </cell>
          <cell r="G1092">
            <v>62700</v>
          </cell>
          <cell r="H1092">
            <v>22200</v>
          </cell>
          <cell r="I1092">
            <v>62100000</v>
          </cell>
          <cell r="J1092">
            <v>5340000</v>
          </cell>
        </row>
        <row r="1093">
          <cell r="A1093" t="str">
            <v>0510-03033-01</v>
          </cell>
          <cell r="B1093" t="str">
            <v>System UPG Nubus MC 1000 2D to MC1000 XL MAC (Includes 1:1)</v>
          </cell>
          <cell r="C1093">
            <v>34995</v>
          </cell>
          <cell r="D1093">
            <v>26200</v>
          </cell>
          <cell r="E1093">
            <v>32100</v>
          </cell>
          <cell r="F1093">
            <v>210300</v>
          </cell>
          <cell r="G1093">
            <v>62700</v>
          </cell>
          <cell r="H1093">
            <v>22200</v>
          </cell>
          <cell r="I1093">
            <v>62100000</v>
          </cell>
          <cell r="J1093">
            <v>5340000</v>
          </cell>
        </row>
        <row r="1094">
          <cell r="A1094" t="str">
            <v>0510-03034-01</v>
          </cell>
          <cell r="B1094" t="str">
            <v>System UPG Nubus MC 1000 2D to _x000B_MC1000 XL NT (Includes 1:1)</v>
          </cell>
          <cell r="C1094">
            <v>34995</v>
          </cell>
          <cell r="D1094">
            <v>26200</v>
          </cell>
          <cell r="E1094">
            <v>32100</v>
          </cell>
          <cell r="F1094">
            <v>210300</v>
          </cell>
          <cell r="G1094">
            <v>62700</v>
          </cell>
          <cell r="H1094">
            <v>22200</v>
          </cell>
          <cell r="I1094">
            <v>62100000</v>
          </cell>
          <cell r="J1094">
            <v>5340000</v>
          </cell>
        </row>
        <row r="1095">
          <cell r="A1095" t="str">
            <v>0510-03035-01</v>
          </cell>
          <cell r="B1095" t="str">
            <v>System Upgrade MCIK XL NT (Includes 1:1 &amp; FX)</v>
          </cell>
          <cell r="C1095">
            <v>34995</v>
          </cell>
          <cell r="D1095">
            <v>26200</v>
          </cell>
          <cell r="E1095">
            <v>32100</v>
          </cell>
          <cell r="F1095">
            <v>210300</v>
          </cell>
          <cell r="G1095">
            <v>62700</v>
          </cell>
          <cell r="H1095">
            <v>22200</v>
          </cell>
          <cell r="I1095">
            <v>62100000</v>
          </cell>
          <cell r="J1095">
            <v>5340000</v>
          </cell>
        </row>
        <row r="1096">
          <cell r="A1096" t="str">
            <v>0510-03036-01</v>
          </cell>
          <cell r="B1096" t="str">
            <v>Sys.UPG Nubus MC1K 3D to MC1000 XL NT (Includes 1:1 &amp; FX)</v>
          </cell>
          <cell r="C1096">
            <v>34995</v>
          </cell>
          <cell r="D1096">
            <v>26200</v>
          </cell>
          <cell r="E1096">
            <v>32100</v>
          </cell>
          <cell r="F1096">
            <v>210300</v>
          </cell>
          <cell r="G1096">
            <v>62700</v>
          </cell>
          <cell r="H1096">
            <v>22200</v>
          </cell>
          <cell r="I1096">
            <v>62100000</v>
          </cell>
          <cell r="J1096">
            <v>5340000</v>
          </cell>
        </row>
        <row r="1097">
          <cell r="A1097" t="str">
            <v>0510-03037-01</v>
          </cell>
          <cell r="B1097" t="str">
            <v>System UPG Nubus MC4000 2D to MC1000 XL MAC</v>
          </cell>
          <cell r="C1097">
            <v>51070</v>
          </cell>
          <cell r="D1097">
            <v>38300</v>
          </cell>
          <cell r="E1097">
            <v>46800</v>
          </cell>
          <cell r="F1097">
            <v>306900</v>
          </cell>
          <cell r="G1097">
            <v>91500</v>
          </cell>
          <cell r="H1097">
            <v>32400</v>
          </cell>
          <cell r="I1097">
            <v>90600000</v>
          </cell>
          <cell r="J1097">
            <v>7790000</v>
          </cell>
        </row>
        <row r="1098">
          <cell r="A1098" t="str">
            <v>0510-03038-01</v>
          </cell>
          <cell r="B1098" t="str">
            <v>System UPG MC8000 2D to MC1000 XL NT (Includes 1:1 &amp; FS)</v>
          </cell>
          <cell r="C1098">
            <v>29995</v>
          </cell>
          <cell r="D1098">
            <v>22500</v>
          </cell>
          <cell r="E1098">
            <v>27500</v>
          </cell>
          <cell r="F1098">
            <v>180300</v>
          </cell>
          <cell r="G1098">
            <v>53800</v>
          </cell>
          <cell r="H1098">
            <v>19000</v>
          </cell>
          <cell r="I1098">
            <v>53200000</v>
          </cell>
          <cell r="J1098">
            <v>4570000</v>
          </cell>
        </row>
        <row r="1099">
          <cell r="A1099" t="str">
            <v>0510-03039-01</v>
          </cell>
          <cell r="B1099" t="str">
            <v>Nubus MC4000 3D to MC1000 XL MAC (including FX)</v>
          </cell>
          <cell r="C1099">
            <v>64320</v>
          </cell>
          <cell r="D1099">
            <v>48200</v>
          </cell>
          <cell r="E1099">
            <v>58900</v>
          </cell>
          <cell r="F1099">
            <v>386600</v>
          </cell>
          <cell r="G1099">
            <v>115300</v>
          </cell>
          <cell r="H1099">
            <v>40800</v>
          </cell>
          <cell r="I1099">
            <v>114100000</v>
          </cell>
          <cell r="J1099">
            <v>9810000</v>
          </cell>
        </row>
        <row r="1100">
          <cell r="A1100" t="str">
            <v>0510-03040-01</v>
          </cell>
          <cell r="B1100" t="str">
            <v>System UPG MC8000 3D to MC1000 XL NT (Includes 1:1,FX &amp; FS)</v>
          </cell>
          <cell r="C1100">
            <v>29995</v>
          </cell>
          <cell r="D1100">
            <v>22500</v>
          </cell>
          <cell r="E1100">
            <v>27500</v>
          </cell>
          <cell r="F1100">
            <v>180300</v>
          </cell>
          <cell r="G1100">
            <v>53800</v>
          </cell>
          <cell r="H1100">
            <v>19000</v>
          </cell>
          <cell r="I1100">
            <v>53200000</v>
          </cell>
          <cell r="J1100">
            <v>4570000</v>
          </cell>
        </row>
        <row r="1101">
          <cell r="A1101" t="str">
            <v>0510-03041-01</v>
          </cell>
          <cell r="B1101" t="str">
            <v>System UPG Nubus MC8000 2D to MC1000 XL MAC (Includes 1:1 &amp; FS)</v>
          </cell>
          <cell r="C1101">
            <v>34995</v>
          </cell>
          <cell r="D1101">
            <v>26200</v>
          </cell>
          <cell r="E1101">
            <v>32100</v>
          </cell>
          <cell r="F1101">
            <v>210300</v>
          </cell>
          <cell r="G1101">
            <v>62700</v>
          </cell>
          <cell r="H1101">
            <v>22200</v>
          </cell>
          <cell r="I1101">
            <v>62100000</v>
          </cell>
          <cell r="J1101">
            <v>5340000</v>
          </cell>
        </row>
        <row r="1102">
          <cell r="A1102" t="str">
            <v>0510-03042-01</v>
          </cell>
          <cell r="B1102" t="str">
            <v>System UPG Nubus MC8000 2D to MC1000 XL NT (Includes 1:1 &amp; FS)</v>
          </cell>
          <cell r="C1102">
            <v>34995</v>
          </cell>
          <cell r="D1102">
            <v>26200</v>
          </cell>
          <cell r="E1102">
            <v>32100</v>
          </cell>
          <cell r="F1102">
            <v>210300</v>
          </cell>
          <cell r="G1102">
            <v>62700</v>
          </cell>
          <cell r="H1102">
            <v>22200</v>
          </cell>
          <cell r="I1102">
            <v>62100000</v>
          </cell>
          <cell r="J1102">
            <v>5340000</v>
          </cell>
        </row>
        <row r="1103">
          <cell r="A1103" t="str">
            <v>0510-03043-01</v>
          </cell>
          <cell r="B1103" t="str">
            <v>Nubus MC8000 3D to MC1000 XL MAC (Includes 1:1,FX &amp; FS)</v>
          </cell>
          <cell r="C1103">
            <v>34995</v>
          </cell>
          <cell r="D1103">
            <v>26200</v>
          </cell>
          <cell r="E1103">
            <v>32100</v>
          </cell>
          <cell r="F1103">
            <v>210300</v>
          </cell>
          <cell r="G1103">
            <v>62700</v>
          </cell>
          <cell r="H1103">
            <v>22200</v>
          </cell>
          <cell r="I1103">
            <v>62100000</v>
          </cell>
          <cell r="J1103">
            <v>5340000</v>
          </cell>
        </row>
        <row r="1104">
          <cell r="A1104" t="str">
            <v>0510-03044-01</v>
          </cell>
          <cell r="B1104" t="str">
            <v>Nubus MC8000 3D to MC1000 XL NT (Includes 1:1,FX &amp; FS)</v>
          </cell>
          <cell r="C1104">
            <v>34995</v>
          </cell>
          <cell r="D1104">
            <v>26200</v>
          </cell>
          <cell r="E1104">
            <v>32100</v>
          </cell>
          <cell r="F1104">
            <v>210300</v>
          </cell>
          <cell r="G1104">
            <v>62700</v>
          </cell>
          <cell r="H1104">
            <v>22200</v>
          </cell>
          <cell r="I1104">
            <v>62100000</v>
          </cell>
          <cell r="J1104">
            <v>5340000</v>
          </cell>
        </row>
        <row r="1105">
          <cell r="A1105" t="str">
            <v>0500-01844-35</v>
          </cell>
          <cell r="B1105" t="str">
            <v>Avid Xpress base board/software kit, inc. PCI Extender</v>
          </cell>
          <cell r="C1105">
            <v>9999</v>
          </cell>
          <cell r="D1105">
            <v>7500</v>
          </cell>
          <cell r="E1105">
            <v>9200</v>
          </cell>
          <cell r="F1105">
            <v>60100</v>
          </cell>
          <cell r="G1105">
            <v>17900</v>
          </cell>
          <cell r="H1105">
            <v>6300</v>
          </cell>
          <cell r="I1105">
            <v>17700000</v>
          </cell>
          <cell r="J1105">
            <v>1520000</v>
          </cell>
        </row>
        <row r="1106">
          <cell r="A1106" t="str">
            <v>0500-01844-31</v>
          </cell>
          <cell r="B1106" t="str">
            <v>Avid Xpress base system (G3, 21Ó monitor)</v>
          </cell>
          <cell r="C1106">
            <v>14999</v>
          </cell>
          <cell r="D1106">
            <v>11200</v>
          </cell>
          <cell r="E1106">
            <v>13700</v>
          </cell>
          <cell r="F1106">
            <v>90100</v>
          </cell>
          <cell r="G1106">
            <v>26900</v>
          </cell>
          <cell r="H1106">
            <v>9500</v>
          </cell>
          <cell r="I1106">
            <v>26600000</v>
          </cell>
          <cell r="J1106">
            <v>2290000</v>
          </cell>
        </row>
        <row r="1107">
          <cell r="A1107" t="str">
            <v>0500-01845-35</v>
          </cell>
          <cell r="B1107" t="str">
            <v>Avid Xpress Plus board/software kit (incl. Avid PCI Extender)</v>
          </cell>
          <cell r="C1107">
            <v>12999</v>
          </cell>
          <cell r="D1107">
            <v>9700</v>
          </cell>
          <cell r="E1107">
            <v>11900</v>
          </cell>
          <cell r="F1107">
            <v>78100</v>
          </cell>
          <cell r="G1107">
            <v>23300</v>
          </cell>
          <cell r="H1107">
            <v>8200</v>
          </cell>
          <cell r="I1107">
            <v>23100000</v>
          </cell>
          <cell r="J1107">
            <v>1980000</v>
          </cell>
        </row>
        <row r="1108">
          <cell r="A1108" t="str">
            <v>0500-01845-31</v>
          </cell>
          <cell r="B1108" t="str">
            <v>Avid Xpress Plus system (G3, 21Ó monitor)</v>
          </cell>
          <cell r="C1108">
            <v>17499</v>
          </cell>
          <cell r="D1108">
            <v>13100</v>
          </cell>
          <cell r="E1108">
            <v>16000</v>
          </cell>
          <cell r="F1108">
            <v>105200</v>
          </cell>
          <cell r="G1108">
            <v>31400</v>
          </cell>
          <cell r="H1108">
            <v>11100</v>
          </cell>
          <cell r="I1108">
            <v>31000000</v>
          </cell>
          <cell r="J1108">
            <v>2670000</v>
          </cell>
        </row>
        <row r="1109">
          <cell r="A1109" t="str">
            <v>0500-01846-35</v>
          </cell>
          <cell r="B1109" t="str">
            <v>Avid Xpress Deluxe board/software kit (incl. Avid PCI Extender)</v>
          </cell>
          <cell r="C1109">
            <v>12999</v>
          </cell>
          <cell r="D1109">
            <v>9700</v>
          </cell>
          <cell r="E1109">
            <v>11900</v>
          </cell>
          <cell r="F1109">
            <v>78100</v>
          </cell>
          <cell r="G1109">
            <v>23300</v>
          </cell>
          <cell r="H1109">
            <v>8200</v>
          </cell>
          <cell r="I1109">
            <v>23100000</v>
          </cell>
          <cell r="J1109">
            <v>1980000</v>
          </cell>
        </row>
        <row r="1110">
          <cell r="A1110" t="str">
            <v>0500-01846-31</v>
          </cell>
          <cell r="B1110" t="str">
            <v>Avid Xpress Deluxe system (G3, 21Ó monitor)</v>
          </cell>
          <cell r="C1110">
            <v>17499</v>
          </cell>
          <cell r="D1110">
            <v>13100</v>
          </cell>
          <cell r="E1110">
            <v>16000</v>
          </cell>
          <cell r="F1110">
            <v>105200</v>
          </cell>
          <cell r="G1110">
            <v>31400</v>
          </cell>
          <cell r="H1110">
            <v>11100</v>
          </cell>
          <cell r="I1110">
            <v>31000000</v>
          </cell>
          <cell r="J1110">
            <v>2670000</v>
          </cell>
        </row>
        <row r="1111">
          <cell r="A1111" t="str">
            <v>0500-01847-35</v>
          </cell>
          <cell r="B1111" t="str">
            <v>Avid Xpress Elite board/software kit (incl. Avid PCI Extender)</v>
          </cell>
          <cell r="C1111">
            <v>19999</v>
          </cell>
          <cell r="D1111">
            <v>15000</v>
          </cell>
          <cell r="E1111">
            <v>18300</v>
          </cell>
          <cell r="F1111">
            <v>120200</v>
          </cell>
          <cell r="G1111">
            <v>35800</v>
          </cell>
          <cell r="H1111">
            <v>12700</v>
          </cell>
          <cell r="I1111">
            <v>35500000</v>
          </cell>
          <cell r="J1111">
            <v>3050000</v>
          </cell>
        </row>
        <row r="1112">
          <cell r="A1112" t="str">
            <v>0500-01847-31</v>
          </cell>
          <cell r="B1112" t="str">
            <v>Avid Xpress Elite system (G3, 21Ó monitor)</v>
          </cell>
          <cell r="C1112">
            <v>24499</v>
          </cell>
          <cell r="D1112">
            <v>18400</v>
          </cell>
          <cell r="E1112">
            <v>22400</v>
          </cell>
          <cell r="F1112">
            <v>147200</v>
          </cell>
          <cell r="G1112">
            <v>43900</v>
          </cell>
          <cell r="H1112">
            <v>15500</v>
          </cell>
          <cell r="I1112">
            <v>43500000</v>
          </cell>
          <cell r="J1112">
            <v>3730000</v>
          </cell>
        </row>
        <row r="1113">
          <cell r="A1113" t="str">
            <v>0500-03051-21</v>
          </cell>
          <cell r="B1113" t="str">
            <v xml:space="preserve">MC Offline XL System on Macintosh </v>
          </cell>
          <cell r="C1113">
            <v>47500</v>
          </cell>
          <cell r="D1113">
            <v>35600</v>
          </cell>
          <cell r="E1113">
            <v>43500</v>
          </cell>
          <cell r="F1113">
            <v>285500</v>
          </cell>
          <cell r="G1113">
            <v>85100</v>
          </cell>
          <cell r="H1113">
            <v>30100</v>
          </cell>
          <cell r="I1113">
            <v>84300000</v>
          </cell>
          <cell r="J1113">
            <v>7240000</v>
          </cell>
        </row>
        <row r="1114">
          <cell r="A1114" t="str">
            <v>0510-03045-01</v>
          </cell>
          <cell r="B1114" t="str">
            <v>UPG MC1000 XL Mac Board Set from PCI ABVB MCO or MC900</v>
          </cell>
          <cell r="C1114">
            <v>17995</v>
          </cell>
          <cell r="D1114">
            <v>13500</v>
          </cell>
          <cell r="E1114">
            <v>16500</v>
          </cell>
          <cell r="F1114">
            <v>108200</v>
          </cell>
          <cell r="G1114">
            <v>32200</v>
          </cell>
          <cell r="H1114">
            <v>11400</v>
          </cell>
          <cell r="I1114">
            <v>31900000</v>
          </cell>
          <cell r="J1114">
            <v>2740000</v>
          </cell>
        </row>
        <row r="1115">
          <cell r="A1115" t="str">
            <v>0510-03046-01</v>
          </cell>
          <cell r="B1115" t="str">
            <v>UPG MC1000 XL Mac  Board Set &amp; CPU from PCI ABVB MCO or MC900</v>
          </cell>
          <cell r="C1115">
            <v>21995</v>
          </cell>
          <cell r="D1115">
            <v>16500</v>
          </cell>
          <cell r="E1115">
            <v>20200</v>
          </cell>
          <cell r="F1115">
            <v>132200</v>
          </cell>
          <cell r="G1115">
            <v>39400</v>
          </cell>
          <cell r="H1115">
            <v>13900</v>
          </cell>
          <cell r="I1115">
            <v>39000000</v>
          </cell>
          <cell r="J1115">
            <v>3350000</v>
          </cell>
        </row>
        <row r="1116">
          <cell r="A1116" t="str">
            <v>0510-03047-01</v>
          </cell>
          <cell r="B1116" t="str">
            <v>UPG MC1000 XL NT - Board Set &amp; CPU from PCI ABVB MCO or  MC900</v>
          </cell>
          <cell r="C1116">
            <v>29995</v>
          </cell>
          <cell r="D1116">
            <v>22500</v>
          </cell>
          <cell r="E1116">
            <v>27500</v>
          </cell>
          <cell r="F1116">
            <v>180300</v>
          </cell>
          <cell r="G1116">
            <v>53800</v>
          </cell>
          <cell r="H1116">
            <v>19000</v>
          </cell>
          <cell r="I1116">
            <v>53200000</v>
          </cell>
          <cell r="J1116">
            <v>4570000</v>
          </cell>
        </row>
        <row r="1117">
          <cell r="A1117" t="str">
            <v>0510-03048-01</v>
          </cell>
          <cell r="B1117" t="str">
            <v>UPG MC1000 XL Mac - Board Set from PCI ABVB MC1K 2D or MC4K 2D (Includes 1:1)</v>
          </cell>
          <cell r="C1117">
            <v>17995</v>
          </cell>
          <cell r="D1117">
            <v>13500</v>
          </cell>
          <cell r="E1117">
            <v>16500</v>
          </cell>
          <cell r="F1117">
            <v>108200</v>
          </cell>
          <cell r="G1117">
            <v>32200</v>
          </cell>
          <cell r="H1117">
            <v>11400</v>
          </cell>
          <cell r="I1117">
            <v>31900000</v>
          </cell>
          <cell r="J1117">
            <v>2740000</v>
          </cell>
        </row>
        <row r="1118">
          <cell r="A1118" t="str">
            <v>0510-03049-01</v>
          </cell>
          <cell r="B1118" t="str">
            <v>UPG MC1000 XL Mac - Board Set &amp; CPU from PCI ABVB MC1K 2D or MC4K 2D (Includes 1:1)</v>
          </cell>
          <cell r="C1118">
            <v>21995</v>
          </cell>
          <cell r="D1118">
            <v>16500</v>
          </cell>
          <cell r="E1118">
            <v>20200</v>
          </cell>
          <cell r="F1118">
            <v>132200</v>
          </cell>
          <cell r="G1118">
            <v>39400</v>
          </cell>
          <cell r="H1118">
            <v>13900</v>
          </cell>
          <cell r="I1118">
            <v>39000000</v>
          </cell>
          <cell r="J1118">
            <v>3350000</v>
          </cell>
        </row>
        <row r="1119">
          <cell r="A1119" t="str">
            <v>0510-03050-01</v>
          </cell>
          <cell r="B1119" t="str">
            <v>UPG MC1000 XL NT - Board Set &amp; CPU from PCI ABVB MC1K 2D or PCI ABVB MC4K 2D (Includes 1:1)</v>
          </cell>
          <cell r="C1119">
            <v>29995</v>
          </cell>
          <cell r="D1119">
            <v>22500</v>
          </cell>
          <cell r="E1119">
            <v>27500</v>
          </cell>
          <cell r="F1119">
            <v>180300</v>
          </cell>
          <cell r="G1119">
            <v>53800</v>
          </cell>
          <cell r="H1119">
            <v>19000</v>
          </cell>
          <cell r="I1119">
            <v>53200000</v>
          </cell>
          <cell r="J1119">
            <v>4570000</v>
          </cell>
        </row>
        <row r="1120">
          <cell r="A1120" t="str">
            <v>0510-03051-01</v>
          </cell>
          <cell r="B1120" t="str">
            <v>UPG MC1000 XL Mac - Board Set from PCI ABVB MC1K 3D or PCI ABVB MC4K 3D (Includes 1:1 &amp; FX)</v>
          </cell>
          <cell r="C1120">
            <v>17995</v>
          </cell>
          <cell r="D1120">
            <v>13500</v>
          </cell>
          <cell r="E1120">
            <v>16500</v>
          </cell>
          <cell r="F1120">
            <v>108200</v>
          </cell>
          <cell r="G1120">
            <v>32200</v>
          </cell>
          <cell r="H1120">
            <v>11400</v>
          </cell>
          <cell r="I1120">
            <v>31900000</v>
          </cell>
          <cell r="J1120">
            <v>2740000</v>
          </cell>
        </row>
        <row r="1121">
          <cell r="A1121" t="str">
            <v>0510-03052-01</v>
          </cell>
          <cell r="B1121" t="str">
            <v>UPG MC1000 XL MAC - Board Set &amp; CPU (Includes 1:1 &amp; FX)</v>
          </cell>
          <cell r="C1121">
            <v>21995</v>
          </cell>
          <cell r="D1121">
            <v>16500</v>
          </cell>
          <cell r="E1121">
            <v>20200</v>
          </cell>
          <cell r="F1121">
            <v>132200</v>
          </cell>
          <cell r="G1121">
            <v>39400</v>
          </cell>
          <cell r="H1121">
            <v>13900</v>
          </cell>
          <cell r="I1121">
            <v>39000000</v>
          </cell>
          <cell r="J1121">
            <v>3350000</v>
          </cell>
        </row>
        <row r="1122">
          <cell r="A1122" t="str">
            <v>0510-03053-01</v>
          </cell>
          <cell r="B1122" t="str">
            <v>UPG MC1000 XL NT - Board Set &amp; CPU from PCI ABVB MC1K 3D or PCI ABVB MC4K 3D (Includes 1:1 &amp; FX)</v>
          </cell>
          <cell r="C1122">
            <v>29995</v>
          </cell>
          <cell r="D1122">
            <v>22500</v>
          </cell>
          <cell r="E1122">
            <v>27500</v>
          </cell>
          <cell r="F1122">
            <v>180300</v>
          </cell>
          <cell r="G1122">
            <v>53800</v>
          </cell>
          <cell r="H1122">
            <v>19000</v>
          </cell>
          <cell r="I1122">
            <v>53200000</v>
          </cell>
          <cell r="J1122">
            <v>4570000</v>
          </cell>
        </row>
        <row r="1123">
          <cell r="A1123" t="str">
            <v>0510-03054-01</v>
          </cell>
          <cell r="B1123" t="str">
            <v>UPG MC1000 XL Mac - Board Set from PCI ABVB MC 8000 2D (Includes 1:1 &amp; FS)</v>
          </cell>
          <cell r="C1123">
            <v>17995</v>
          </cell>
          <cell r="D1123">
            <v>13500</v>
          </cell>
          <cell r="E1123">
            <v>16500</v>
          </cell>
          <cell r="F1123">
            <v>108200</v>
          </cell>
          <cell r="G1123">
            <v>32200</v>
          </cell>
          <cell r="H1123">
            <v>11400</v>
          </cell>
          <cell r="I1123">
            <v>31900000</v>
          </cell>
          <cell r="J1123">
            <v>2740000</v>
          </cell>
        </row>
        <row r="1124">
          <cell r="A1124" t="str">
            <v>0510-03055-01</v>
          </cell>
          <cell r="B1124" t="str">
            <v>UPG MC1000 XL Mac - Board Set &amp; CPU from PCI ABVB MC 8000 2D (Includes 1:1 &amp; FS)</v>
          </cell>
          <cell r="C1124">
            <v>21995</v>
          </cell>
          <cell r="D1124">
            <v>16500</v>
          </cell>
          <cell r="E1124">
            <v>20200</v>
          </cell>
          <cell r="F1124">
            <v>132200</v>
          </cell>
          <cell r="G1124">
            <v>39400</v>
          </cell>
          <cell r="H1124">
            <v>13900</v>
          </cell>
          <cell r="I1124">
            <v>39000000</v>
          </cell>
          <cell r="J1124">
            <v>3350000</v>
          </cell>
        </row>
        <row r="1125">
          <cell r="A1125" t="str">
            <v>0510-03056-01</v>
          </cell>
          <cell r="B1125" t="str">
            <v>UPG MC1000 XL NT - Board Set &amp; CPU from PCI ABVB MC 8000 2D</v>
          </cell>
          <cell r="C1125">
            <v>29995</v>
          </cell>
          <cell r="D1125">
            <v>22500</v>
          </cell>
          <cell r="E1125">
            <v>27500</v>
          </cell>
          <cell r="F1125">
            <v>180300</v>
          </cell>
          <cell r="G1125">
            <v>53800</v>
          </cell>
          <cell r="H1125">
            <v>19000</v>
          </cell>
          <cell r="I1125">
            <v>53200000</v>
          </cell>
          <cell r="J1125">
            <v>4570000</v>
          </cell>
        </row>
        <row r="1126">
          <cell r="A1126" t="str">
            <v>0510-03057-01</v>
          </cell>
          <cell r="B1126" t="str">
            <v>UPG MC1000 XL Mac - Board Set from PCI ABVB MC 8K 3D or PCI ABVB MC9000 (Includes 1:1,FX &amp; FS)</v>
          </cell>
          <cell r="C1126">
            <v>17995</v>
          </cell>
          <cell r="D1126">
            <v>13500</v>
          </cell>
          <cell r="E1126">
            <v>16500</v>
          </cell>
          <cell r="F1126">
            <v>108200</v>
          </cell>
          <cell r="G1126">
            <v>32200</v>
          </cell>
          <cell r="H1126">
            <v>11400</v>
          </cell>
          <cell r="I1126">
            <v>31900000</v>
          </cell>
          <cell r="J1126">
            <v>2740000</v>
          </cell>
        </row>
        <row r="1127">
          <cell r="A1127" t="str">
            <v>0510-03058-01</v>
          </cell>
          <cell r="B1127" t="str">
            <v>UPG MC1000 XL Mac - Board Set &amp; CPU from PCI ABVB MC 8K 3D or PCI ABVB MC9000 (Includes 1:1,FX &amp; FS)</v>
          </cell>
          <cell r="C1127">
            <v>21995</v>
          </cell>
          <cell r="D1127">
            <v>16500</v>
          </cell>
          <cell r="E1127">
            <v>20200</v>
          </cell>
          <cell r="F1127">
            <v>132200</v>
          </cell>
          <cell r="G1127">
            <v>39400</v>
          </cell>
          <cell r="H1127">
            <v>13900</v>
          </cell>
          <cell r="I1127">
            <v>39000000</v>
          </cell>
          <cell r="J1127">
            <v>3350000</v>
          </cell>
        </row>
        <row r="1128">
          <cell r="A1128" t="str">
            <v>0560-03042-01</v>
          </cell>
          <cell r="B1128" t="str">
            <v xml:space="preserve">Trade-in discount MCX-RT to XPNT Deluxe, FilmScribe FOC </v>
          </cell>
          <cell r="C1128">
            <v>-2000</v>
          </cell>
          <cell r="D1128">
            <v>-1500</v>
          </cell>
          <cell r="E1128">
            <v>-1800</v>
          </cell>
          <cell r="F1128">
            <v>-12000</v>
          </cell>
          <cell r="G1128">
            <v>-3600</v>
          </cell>
          <cell r="H1128">
            <v>-1300</v>
          </cell>
          <cell r="I1128">
            <v>-3500000</v>
          </cell>
          <cell r="J1128">
            <v>-300000</v>
          </cell>
        </row>
        <row r="1129">
          <cell r="A1129" t="str">
            <v>0560-03044-01</v>
          </cell>
          <cell r="B1129" t="str">
            <v xml:space="preserve">Trade-in discount MCX-RT to XPNT Elite, FilmScribe FOC </v>
          </cell>
          <cell r="C1129">
            <v>-4000</v>
          </cell>
          <cell r="D1129">
            <v>-3000</v>
          </cell>
          <cell r="E1129">
            <v>-3700</v>
          </cell>
          <cell r="F1129">
            <v>-24000</v>
          </cell>
          <cell r="G1129">
            <v>-7200</v>
          </cell>
          <cell r="H1129">
            <v>-2500</v>
          </cell>
          <cell r="I1129">
            <v>-7100000</v>
          </cell>
          <cell r="J1129">
            <v>-610000</v>
          </cell>
        </row>
        <row r="1130">
          <cell r="A1130" t="str">
            <v>0505-03023-01</v>
          </cell>
          <cell r="B1130" t="str">
            <v>Symphony 1.1 Software Upgrade</v>
          </cell>
          <cell r="C1130">
            <v>4995</v>
          </cell>
          <cell r="D1130">
            <v>3700</v>
          </cell>
          <cell r="E1130">
            <v>4600</v>
          </cell>
          <cell r="F1130">
            <v>30000</v>
          </cell>
          <cell r="G1130">
            <v>9000</v>
          </cell>
          <cell r="H1130">
            <v>3200</v>
          </cell>
          <cell r="I1130">
            <v>8900000</v>
          </cell>
          <cell r="J1130">
            <v>760000</v>
          </cell>
        </row>
        <row r="1131">
          <cell r="A1131" t="str">
            <v>0500-03031-01</v>
          </cell>
          <cell r="B1131" t="str">
            <v>Avid Unity / MediaNet 3/180</v>
          </cell>
          <cell r="C1131">
            <v>71995</v>
          </cell>
          <cell r="D1131">
            <v>54000</v>
          </cell>
          <cell r="E1131">
            <v>66000</v>
          </cell>
          <cell r="F1131">
            <v>432700</v>
          </cell>
          <cell r="G1131">
            <v>129000</v>
          </cell>
          <cell r="H1131">
            <v>45600</v>
          </cell>
          <cell r="I1131">
            <v>127700000</v>
          </cell>
          <cell r="J1131">
            <v>10980000</v>
          </cell>
        </row>
        <row r="1132">
          <cell r="A1132" t="str">
            <v>0500-03024-01</v>
          </cell>
          <cell r="B1132" t="str">
            <v>Avid Unity / MediaNet 3/180 (Hub)</v>
          </cell>
          <cell r="C1132">
            <v>57995</v>
          </cell>
          <cell r="D1132">
            <v>43500</v>
          </cell>
          <cell r="E1132">
            <v>53100</v>
          </cell>
          <cell r="F1132">
            <v>348600</v>
          </cell>
          <cell r="G1132">
            <v>103900</v>
          </cell>
          <cell r="H1132">
            <v>36800</v>
          </cell>
          <cell r="I1132">
            <v>102900000</v>
          </cell>
          <cell r="J1132">
            <v>8840000</v>
          </cell>
        </row>
        <row r="1133">
          <cell r="A1133" t="str">
            <v>0500-03025-01</v>
          </cell>
          <cell r="B1133" t="str">
            <v>Avid Unity / MediaNet 5/540</v>
          </cell>
          <cell r="C1133">
            <v>139995</v>
          </cell>
          <cell r="D1133">
            <v>105000</v>
          </cell>
          <cell r="E1133">
            <v>128300</v>
          </cell>
          <cell r="F1133">
            <v>841400</v>
          </cell>
          <cell r="G1133">
            <v>250900</v>
          </cell>
          <cell r="H1133">
            <v>88700</v>
          </cell>
          <cell r="I1133">
            <v>248400000</v>
          </cell>
          <cell r="J1133">
            <v>21340000</v>
          </cell>
        </row>
        <row r="1134">
          <cell r="A1134" t="str">
            <v>0500-03032-01</v>
          </cell>
          <cell r="B1134" t="str">
            <v>Avid Unity / MediaNet 9/1080</v>
          </cell>
          <cell r="C1134">
            <v>259995</v>
          </cell>
          <cell r="D1134">
            <v>195000</v>
          </cell>
          <cell r="E1134">
            <v>238200</v>
          </cell>
          <cell r="F1134">
            <v>1562600</v>
          </cell>
          <cell r="G1134">
            <v>465900</v>
          </cell>
          <cell r="H1134">
            <v>164800</v>
          </cell>
          <cell r="I1134">
            <v>461300000</v>
          </cell>
          <cell r="J1134">
            <v>39640000</v>
          </cell>
        </row>
        <row r="1135">
          <cell r="A1135" t="str">
            <v>0010-03374-01</v>
          </cell>
          <cell r="B1135" t="str">
            <v>Avid Unity / MediaNet 3 Seat Upgrade</v>
          </cell>
          <cell r="C1135">
            <v>16995</v>
          </cell>
          <cell r="D1135">
            <v>12700</v>
          </cell>
          <cell r="E1135">
            <v>15600</v>
          </cell>
          <cell r="F1135">
            <v>102100</v>
          </cell>
          <cell r="G1135">
            <v>30500</v>
          </cell>
          <cell r="H1135">
            <v>10800</v>
          </cell>
          <cell r="I1135">
            <v>30200000</v>
          </cell>
          <cell r="J1135">
            <v>2590000</v>
          </cell>
        </row>
        <row r="1136">
          <cell r="A1136" t="str">
            <v>0010-03375-01</v>
          </cell>
          <cell r="B1136" t="str">
            <v>Avid Unity / MediaNet 3 Seat Upgrade &amp; MEDIASwitch</v>
          </cell>
          <cell r="C1136">
            <v>27745</v>
          </cell>
          <cell r="D1136">
            <v>20800</v>
          </cell>
          <cell r="E1136">
            <v>25400</v>
          </cell>
          <cell r="F1136">
            <v>166800</v>
          </cell>
          <cell r="G1136">
            <v>49700</v>
          </cell>
          <cell r="H1136">
            <v>17600</v>
          </cell>
          <cell r="I1136">
            <v>49200000</v>
          </cell>
          <cell r="J1136">
            <v>4230000</v>
          </cell>
        </row>
        <row r="1137">
          <cell r="A1137" t="str">
            <v>0010-03376-01</v>
          </cell>
          <cell r="B1137" t="str">
            <v>Avid Unity / MediaNet 3 Seat upgrade w/18GB 10k Drive</v>
          </cell>
          <cell r="C1137">
            <v>18995</v>
          </cell>
          <cell r="D1137">
            <v>14200</v>
          </cell>
          <cell r="E1137">
            <v>17400</v>
          </cell>
          <cell r="F1137">
            <v>114200</v>
          </cell>
          <cell r="G1137">
            <v>34000</v>
          </cell>
          <cell r="H1137">
            <v>12000</v>
          </cell>
          <cell r="I1137">
            <v>33700000</v>
          </cell>
          <cell r="J1137">
            <v>2900000</v>
          </cell>
        </row>
        <row r="1138">
          <cell r="A1138" t="str">
            <v>0010-03400-01</v>
          </cell>
          <cell r="B1138" t="str">
            <v>Avid Unity / MediaNet 3 St. Upg. w/18GB &amp; MEDIASwitch</v>
          </cell>
          <cell r="C1138">
            <v>28745</v>
          </cell>
          <cell r="D1138">
            <v>21600</v>
          </cell>
          <cell r="E1138">
            <v>26300</v>
          </cell>
          <cell r="F1138">
            <v>172800</v>
          </cell>
          <cell r="G1138">
            <v>51500</v>
          </cell>
          <cell r="H1138">
            <v>18200</v>
          </cell>
          <cell r="I1138">
            <v>51000000</v>
          </cell>
          <cell r="J1138">
            <v>4380000</v>
          </cell>
        </row>
        <row r="1139">
          <cell r="A1139" t="str">
            <v>0010-03377-01</v>
          </cell>
          <cell r="B1139" t="str">
            <v>Avid Unity / MediaNet Add-On Seat</v>
          </cell>
          <cell r="C1139">
            <v>2495</v>
          </cell>
          <cell r="D1139">
            <v>1900</v>
          </cell>
          <cell r="E1139">
            <v>2300</v>
          </cell>
          <cell r="F1139">
            <v>15000</v>
          </cell>
          <cell r="G1139">
            <v>4500</v>
          </cell>
          <cell r="H1139">
            <v>1600</v>
          </cell>
          <cell r="I1139">
            <v>4400000</v>
          </cell>
          <cell r="J1139">
            <v>380000</v>
          </cell>
        </row>
        <row r="1140">
          <cell r="A1140" t="str">
            <v>0010-03401-01</v>
          </cell>
          <cell r="B1140" t="str">
            <v>Avid Unity / MediaNet Switch Upgrade</v>
          </cell>
          <cell r="C1140">
            <v>11750</v>
          </cell>
          <cell r="D1140">
            <v>8800</v>
          </cell>
          <cell r="E1140">
            <v>10800</v>
          </cell>
          <cell r="F1140">
            <v>70600</v>
          </cell>
          <cell r="G1140">
            <v>21100</v>
          </cell>
          <cell r="H1140">
            <v>7400</v>
          </cell>
          <cell r="I1140">
            <v>20800000</v>
          </cell>
          <cell r="J1140">
            <v>1790000</v>
          </cell>
        </row>
        <row r="1141">
          <cell r="A1141" t="str">
            <v>0010-03402-01</v>
          </cell>
          <cell r="B1141" t="str">
            <v>Avid Unity / MediaNet MEDIArray Upgrade</v>
          </cell>
          <cell r="C1141">
            <v>825</v>
          </cell>
          <cell r="D1141">
            <v>600</v>
          </cell>
          <cell r="E1141">
            <v>800</v>
          </cell>
          <cell r="F1141">
            <v>5000</v>
          </cell>
          <cell r="G1141">
            <v>1500</v>
          </cell>
          <cell r="H1141">
            <v>500</v>
          </cell>
          <cell r="I1141">
            <v>1500000</v>
          </cell>
          <cell r="J1141">
            <v>130000</v>
          </cell>
        </row>
        <row r="1142">
          <cell r="A1142" t="str">
            <v>0510-03023-01</v>
          </cell>
          <cell r="B1142" t="str">
            <v>Upgrade Xpress NT Plus to Elite</v>
          </cell>
          <cell r="C1142">
            <v>21000</v>
          </cell>
          <cell r="D1142">
            <v>15800</v>
          </cell>
          <cell r="E1142">
            <v>19200</v>
          </cell>
          <cell r="F1142">
            <v>126200</v>
          </cell>
          <cell r="G1142">
            <v>37600</v>
          </cell>
          <cell r="H1142">
            <v>13300</v>
          </cell>
          <cell r="I1142">
            <v>37300000</v>
          </cell>
          <cell r="J1142">
            <v>3200000</v>
          </cell>
        </row>
        <row r="1143">
          <cell r="A1143" t="str">
            <v>0510-03022-01</v>
          </cell>
          <cell r="B1143" t="str">
            <v>Upgrade Xpress NT Plus to Deluxe</v>
          </cell>
          <cell r="C1143">
            <v>9500</v>
          </cell>
          <cell r="D1143">
            <v>7100</v>
          </cell>
          <cell r="E1143">
            <v>8700</v>
          </cell>
          <cell r="F1143">
            <v>57100</v>
          </cell>
          <cell r="G1143">
            <v>17000</v>
          </cell>
          <cell r="H1143">
            <v>6000</v>
          </cell>
          <cell r="I1143">
            <v>16900000</v>
          </cell>
          <cell r="J1143">
            <v>1450000</v>
          </cell>
        </row>
        <row r="1144">
          <cell r="A1144" t="str">
            <v>0560-03114-01</v>
          </cell>
          <cell r="B1144" t="str">
            <v>Upgrade, Symphony 1.0 to Symphony Universal 2.0</v>
          </cell>
          <cell r="C1144">
            <v>25000</v>
          </cell>
          <cell r="D1144">
            <v>18800</v>
          </cell>
          <cell r="E1144">
            <v>22900</v>
          </cell>
          <cell r="F1144">
            <v>150300</v>
          </cell>
          <cell r="G1144">
            <v>44800</v>
          </cell>
          <cell r="H1144">
            <v>15800</v>
          </cell>
          <cell r="I1144">
            <v>44400000</v>
          </cell>
          <cell r="J1144">
            <v>3810000</v>
          </cell>
        </row>
        <row r="1145">
          <cell r="A1145" t="str">
            <v>0555-03026-01</v>
          </cell>
          <cell r="B1145" t="str">
            <v>Credit against One 21"" High Resolution Monitor</v>
          </cell>
          <cell r="C1145">
            <v>1500</v>
          </cell>
          <cell r="D1145">
            <v>1130</v>
          </cell>
          <cell r="E1145">
            <v>1370</v>
          </cell>
          <cell r="F1145">
            <v>9020</v>
          </cell>
          <cell r="G1145">
            <v>2690</v>
          </cell>
          <cell r="H1145">
            <v>950</v>
          </cell>
          <cell r="I1145">
            <v>2661000</v>
          </cell>
          <cell r="J1145">
            <v>228700</v>
          </cell>
        </row>
        <row r="1146">
          <cell r="A1146" t="str">
            <v>0110-00085-01</v>
          </cell>
          <cell r="B1146" t="str">
            <v>Black Burst Generator PAL 220v</v>
          </cell>
          <cell r="C1146">
            <v>750</v>
          </cell>
          <cell r="D1146">
            <v>560</v>
          </cell>
          <cell r="E1146">
            <v>690</v>
          </cell>
          <cell r="F1146">
            <v>4510</v>
          </cell>
          <cell r="G1146">
            <v>1340</v>
          </cell>
          <cell r="H1146">
            <v>480</v>
          </cell>
          <cell r="I1146">
            <v>1331000</v>
          </cell>
          <cell r="J1146">
            <v>114300</v>
          </cell>
        </row>
        <row r="1147">
          <cell r="A1147" t="str">
            <v>0010-03380-01</v>
          </cell>
          <cell r="B1147" t="str">
            <v>Kit, dual powered speakers, UK 220V  Roland</v>
          </cell>
          <cell r="C1147">
            <v>350</v>
          </cell>
          <cell r="D1147">
            <v>260</v>
          </cell>
          <cell r="E1147">
            <v>320</v>
          </cell>
          <cell r="F1147">
            <v>2100</v>
          </cell>
          <cell r="G1147">
            <v>630</v>
          </cell>
          <cell r="H1147">
            <v>220</v>
          </cell>
          <cell r="I1147">
            <v>621000</v>
          </cell>
          <cell r="J1147">
            <v>53400</v>
          </cell>
        </row>
        <row r="1148">
          <cell r="A1148" t="str">
            <v>0510-03018-01</v>
          </cell>
          <cell r="B1148" t="str">
            <v>Upgrade Avid Xpress NT  to 2.1</v>
          </cell>
          <cell r="C1148">
            <v>99</v>
          </cell>
          <cell r="D1148">
            <v>99</v>
          </cell>
          <cell r="E1148">
            <v>100</v>
          </cell>
          <cell r="F1148">
            <v>600</v>
          </cell>
          <cell r="G1148">
            <v>200</v>
          </cell>
          <cell r="H1148">
            <v>100</v>
          </cell>
          <cell r="I1148">
            <v>200000</v>
          </cell>
          <cell r="J1148">
            <v>20000</v>
          </cell>
        </row>
        <row r="1149">
          <cell r="A1149" t="str">
            <v>0010-03423-01</v>
          </cell>
          <cell r="B1149" t="str">
            <v>Fibre Channel Client Kit for Meridien only - Inc. Cable</v>
          </cell>
          <cell r="C1149">
            <v>1670</v>
          </cell>
          <cell r="D1149">
            <v>1300</v>
          </cell>
          <cell r="E1149">
            <v>1500</v>
          </cell>
          <cell r="F1149">
            <v>10000</v>
          </cell>
          <cell r="G1149">
            <v>3000</v>
          </cell>
          <cell r="H1149">
            <v>1100</v>
          </cell>
          <cell r="I1149">
            <v>3000000</v>
          </cell>
          <cell r="J1149">
            <v>250000</v>
          </cell>
        </row>
        <row r="1150">
          <cell r="A1150" t="str">
            <v>0010-03424-01</v>
          </cell>
          <cell r="B1150" t="str">
            <v>Kit, SDI Option for Meridien Systems</v>
          </cell>
          <cell r="C1150">
            <v>2000</v>
          </cell>
          <cell r="D1150">
            <v>1500</v>
          </cell>
          <cell r="E1150">
            <v>1800</v>
          </cell>
          <cell r="F1150">
            <v>12000</v>
          </cell>
          <cell r="G1150">
            <v>3600</v>
          </cell>
          <cell r="H1150">
            <v>1300</v>
          </cell>
          <cell r="I1150">
            <v>3500000</v>
          </cell>
          <cell r="J1150">
            <v>300000</v>
          </cell>
        </row>
        <row r="1151">
          <cell r="A1151" t="str">
            <v>0505-03025-01</v>
          </cell>
          <cell r="B1151" t="str">
            <v>Upg  Xpress NT  2.1</v>
          </cell>
          <cell r="C1151">
            <v>99</v>
          </cell>
          <cell r="D1151">
            <v>70</v>
          </cell>
          <cell r="E1151">
            <v>90</v>
          </cell>
          <cell r="F1151">
            <v>600</v>
          </cell>
          <cell r="G1151">
            <v>180</v>
          </cell>
          <cell r="H1151">
            <v>60</v>
          </cell>
          <cell r="I1151">
            <v>176000</v>
          </cell>
          <cell r="J1151">
            <v>15100</v>
          </cell>
        </row>
        <row r="1152">
          <cell r="A1152" t="str">
            <v>0010-03381-01</v>
          </cell>
          <cell r="B1152" t="str">
            <v>Canford Amplifier and Boston Speakers</v>
          </cell>
          <cell r="C1152">
            <v>1450</v>
          </cell>
          <cell r="D1152">
            <v>1090</v>
          </cell>
          <cell r="E1152">
            <v>1330</v>
          </cell>
          <cell r="F1152">
            <v>8710</v>
          </cell>
          <cell r="G1152">
            <v>2600</v>
          </cell>
          <cell r="H1152">
            <v>920</v>
          </cell>
          <cell r="I1152">
            <v>2572000</v>
          </cell>
          <cell r="J1152">
            <v>221100</v>
          </cell>
        </row>
        <row r="1153">
          <cell r="A1153" t="str">
            <v>0010-03314-01</v>
          </cell>
          <cell r="B1153" t="str">
            <v>KIT, DS DSK 500, 2MON, 72GB PAL ENG DEMO</v>
          </cell>
          <cell r="C1153">
            <v>98000</v>
          </cell>
          <cell r="D1153">
            <v>98000</v>
          </cell>
          <cell r="E1153">
            <v>89800</v>
          </cell>
          <cell r="F1153">
            <v>589000</v>
          </cell>
          <cell r="G1153">
            <v>175600</v>
          </cell>
          <cell r="H1153">
            <v>62100</v>
          </cell>
          <cell r="I1153">
            <v>173900000</v>
          </cell>
          <cell r="J1153">
            <v>14940000</v>
          </cell>
        </row>
        <row r="1154">
          <cell r="A1154" t="str">
            <v>0010-03315-01</v>
          </cell>
          <cell r="B1154" t="str">
            <v>KIT, DS DSK 500, 1MON, 72GB PAL ENG DEMO</v>
          </cell>
          <cell r="C1154">
            <v>98000</v>
          </cell>
          <cell r="D1154">
            <v>98000</v>
          </cell>
          <cell r="E1154">
            <v>89800</v>
          </cell>
          <cell r="F1154">
            <v>589000</v>
          </cell>
          <cell r="G1154">
            <v>175600</v>
          </cell>
          <cell r="H1154">
            <v>62100</v>
          </cell>
          <cell r="I1154">
            <v>173900000</v>
          </cell>
          <cell r="J1154">
            <v>14940000</v>
          </cell>
        </row>
        <row r="1155">
          <cell r="A1155" t="str">
            <v>0010-03266-01</v>
          </cell>
          <cell r="B1155" t="str">
            <v>KIT, DS DSK 500, 2MON, 72GB PAL ENG</v>
          </cell>
          <cell r="C1155">
            <v>140000</v>
          </cell>
          <cell r="D1155">
            <v>98000</v>
          </cell>
          <cell r="E1155">
            <v>128300</v>
          </cell>
          <cell r="F1155">
            <v>841400</v>
          </cell>
          <cell r="G1155">
            <v>250900</v>
          </cell>
          <cell r="H1155">
            <v>88700</v>
          </cell>
          <cell r="I1155">
            <v>248400000</v>
          </cell>
          <cell r="J1155">
            <v>21340000</v>
          </cell>
        </row>
        <row r="1156">
          <cell r="A1156" t="str">
            <v>0010-03267-01</v>
          </cell>
          <cell r="B1156" t="str">
            <v>KIT, DS DSK 500, 1MON, 72GB PAL ENG</v>
          </cell>
          <cell r="C1156">
            <v>140000</v>
          </cell>
          <cell r="D1156">
            <v>98000</v>
          </cell>
          <cell r="E1156">
            <v>128300</v>
          </cell>
          <cell r="F1156">
            <v>841400</v>
          </cell>
          <cell r="G1156">
            <v>250900</v>
          </cell>
          <cell r="H1156">
            <v>88700</v>
          </cell>
          <cell r="I1156">
            <v>248400000</v>
          </cell>
          <cell r="J1156">
            <v>21340000</v>
          </cell>
        </row>
        <row r="1157">
          <cell r="A1157" t="str">
            <v>0010-03320-01</v>
          </cell>
          <cell r="B1157" t="str">
            <v>KIT, DS DSK 500, 2MON, 144GB PAL ENG DEMO</v>
          </cell>
          <cell r="C1157">
            <v>103250</v>
          </cell>
          <cell r="D1157">
            <v>103250</v>
          </cell>
          <cell r="E1157">
            <v>94600</v>
          </cell>
          <cell r="F1157">
            <v>620600</v>
          </cell>
          <cell r="G1157">
            <v>185000</v>
          </cell>
          <cell r="H1157">
            <v>65400</v>
          </cell>
          <cell r="I1157">
            <v>183200000</v>
          </cell>
          <cell r="J1157">
            <v>15740000</v>
          </cell>
        </row>
        <row r="1158">
          <cell r="A1158" t="str">
            <v>0010-03321-01</v>
          </cell>
          <cell r="B1158" t="str">
            <v>KIT, DS DSK 500, 1MON, 144GB PAL ENG DEMO</v>
          </cell>
          <cell r="C1158">
            <v>103250</v>
          </cell>
          <cell r="D1158">
            <v>103250</v>
          </cell>
          <cell r="E1158">
            <v>94600</v>
          </cell>
          <cell r="F1158">
            <v>620600</v>
          </cell>
          <cell r="G1158">
            <v>185000</v>
          </cell>
          <cell r="H1158">
            <v>65400</v>
          </cell>
          <cell r="I1158">
            <v>183200000</v>
          </cell>
          <cell r="J1158">
            <v>15740000</v>
          </cell>
        </row>
        <row r="1159">
          <cell r="A1159" t="str">
            <v>0010-03272-01</v>
          </cell>
          <cell r="B1159" t="str">
            <v>KIT, DS DSK 500, 2MON, 144GB PAL ENG</v>
          </cell>
          <cell r="C1159">
            <v>147500</v>
          </cell>
          <cell r="D1159">
            <v>103250</v>
          </cell>
          <cell r="E1159">
            <v>135100</v>
          </cell>
          <cell r="F1159">
            <v>886500</v>
          </cell>
          <cell r="G1159">
            <v>264300</v>
          </cell>
          <cell r="H1159">
            <v>93500</v>
          </cell>
          <cell r="I1159">
            <v>261700000</v>
          </cell>
          <cell r="J1159">
            <v>22490000</v>
          </cell>
        </row>
        <row r="1160">
          <cell r="A1160" t="str">
            <v>0010-03273-01</v>
          </cell>
          <cell r="B1160" t="str">
            <v>KIT, DS DSK 500, 1MON, 144GB PAL ENG</v>
          </cell>
          <cell r="C1160">
            <v>147500</v>
          </cell>
          <cell r="D1160">
            <v>103250</v>
          </cell>
          <cell r="E1160">
            <v>135100</v>
          </cell>
          <cell r="F1160">
            <v>886500</v>
          </cell>
          <cell r="G1160">
            <v>264300</v>
          </cell>
          <cell r="H1160">
            <v>93500</v>
          </cell>
          <cell r="I1160">
            <v>261700000</v>
          </cell>
          <cell r="J1160">
            <v>22490000</v>
          </cell>
        </row>
        <row r="1161">
          <cell r="A1161" t="str">
            <v>0010-03338-01</v>
          </cell>
          <cell r="B1161" t="str">
            <v>KIT, DS RCK 500, 2MON, 72GB PAL ENG DEMO</v>
          </cell>
          <cell r="C1161">
            <v>98000</v>
          </cell>
          <cell r="D1161">
            <v>98000</v>
          </cell>
          <cell r="E1161">
            <v>89800</v>
          </cell>
          <cell r="F1161">
            <v>589000</v>
          </cell>
          <cell r="G1161">
            <v>175600</v>
          </cell>
          <cell r="H1161">
            <v>62100</v>
          </cell>
          <cell r="I1161">
            <v>173900000</v>
          </cell>
          <cell r="J1161">
            <v>14940000</v>
          </cell>
        </row>
        <row r="1162">
          <cell r="A1162" t="str">
            <v>0010-03339-01</v>
          </cell>
          <cell r="B1162" t="str">
            <v>KIT, DS RCK 500, 1MON, 72GB PAL ENG DEMO</v>
          </cell>
          <cell r="C1162">
            <v>98000</v>
          </cell>
          <cell r="D1162">
            <v>98000</v>
          </cell>
          <cell r="E1162">
            <v>89800</v>
          </cell>
          <cell r="F1162">
            <v>589000</v>
          </cell>
          <cell r="G1162">
            <v>175600</v>
          </cell>
          <cell r="H1162">
            <v>62100</v>
          </cell>
          <cell r="I1162">
            <v>173900000</v>
          </cell>
          <cell r="J1162">
            <v>14940000</v>
          </cell>
        </row>
        <row r="1163">
          <cell r="A1163" t="str">
            <v>0010-03290-01</v>
          </cell>
          <cell r="B1163" t="str">
            <v>KIT, DS RCK 500, 2MON, 72GB PAL ENG</v>
          </cell>
          <cell r="C1163">
            <v>140000</v>
          </cell>
          <cell r="D1163">
            <v>98000</v>
          </cell>
          <cell r="E1163">
            <v>128300</v>
          </cell>
          <cell r="F1163">
            <v>841400</v>
          </cell>
          <cell r="G1163">
            <v>250900</v>
          </cell>
          <cell r="H1163">
            <v>88700</v>
          </cell>
          <cell r="I1163">
            <v>248400000</v>
          </cell>
          <cell r="J1163">
            <v>21340000</v>
          </cell>
        </row>
        <row r="1164">
          <cell r="A1164" t="str">
            <v>0010-03291-01</v>
          </cell>
          <cell r="B1164" t="str">
            <v>KIT, DS RCK 500, 1MON, 72GB PAL ENG</v>
          </cell>
          <cell r="C1164">
            <v>140000</v>
          </cell>
          <cell r="D1164">
            <v>98000</v>
          </cell>
          <cell r="E1164">
            <v>128300</v>
          </cell>
          <cell r="F1164">
            <v>841400</v>
          </cell>
          <cell r="G1164">
            <v>250900</v>
          </cell>
          <cell r="H1164">
            <v>88700</v>
          </cell>
          <cell r="I1164">
            <v>248400000</v>
          </cell>
          <cell r="J1164">
            <v>21340000</v>
          </cell>
        </row>
        <row r="1165">
          <cell r="A1165" t="str">
            <v>0010-03344-01</v>
          </cell>
          <cell r="B1165" t="str">
            <v>KIT, DS RCK 500, 2MON, 144GB PAL ENG DEMO</v>
          </cell>
          <cell r="C1165">
            <v>103250</v>
          </cell>
          <cell r="D1165">
            <v>103250</v>
          </cell>
          <cell r="E1165">
            <v>94600</v>
          </cell>
          <cell r="F1165">
            <v>620600</v>
          </cell>
          <cell r="G1165">
            <v>185000</v>
          </cell>
          <cell r="H1165">
            <v>65400</v>
          </cell>
          <cell r="I1165">
            <v>183200000</v>
          </cell>
          <cell r="J1165">
            <v>15740000</v>
          </cell>
        </row>
        <row r="1166">
          <cell r="A1166" t="str">
            <v>0010-03345-01</v>
          </cell>
          <cell r="B1166" t="str">
            <v>KIT, DS RCK 500, 1MON, 144GB PAL ENG DEMO</v>
          </cell>
          <cell r="C1166">
            <v>103250</v>
          </cell>
          <cell r="D1166">
            <v>103250</v>
          </cell>
          <cell r="E1166">
            <v>94600</v>
          </cell>
          <cell r="F1166">
            <v>620600</v>
          </cell>
          <cell r="G1166">
            <v>185000</v>
          </cell>
          <cell r="H1166">
            <v>65400</v>
          </cell>
          <cell r="I1166">
            <v>183200000</v>
          </cell>
          <cell r="J1166">
            <v>15740000</v>
          </cell>
        </row>
        <row r="1167">
          <cell r="A1167" t="str">
            <v>0010-03296-01</v>
          </cell>
          <cell r="B1167" t="str">
            <v>KIT, DS RCK 500, 2MON, 144GB PAL ENG</v>
          </cell>
          <cell r="C1167">
            <v>147500</v>
          </cell>
          <cell r="D1167">
            <v>103250</v>
          </cell>
          <cell r="E1167">
            <v>135100</v>
          </cell>
          <cell r="F1167">
            <v>886500</v>
          </cell>
          <cell r="G1167">
            <v>264300</v>
          </cell>
          <cell r="H1167">
            <v>93500</v>
          </cell>
          <cell r="I1167">
            <v>261700000</v>
          </cell>
          <cell r="J1167">
            <v>22490000</v>
          </cell>
        </row>
        <row r="1168">
          <cell r="A1168" t="str">
            <v>0010-03297-01</v>
          </cell>
          <cell r="B1168" t="str">
            <v>KIT, DS RCK 500, 1MON, 144GB PAL ENG</v>
          </cell>
          <cell r="C1168">
            <v>147500</v>
          </cell>
          <cell r="D1168">
            <v>103250</v>
          </cell>
          <cell r="E1168">
            <v>135100</v>
          </cell>
          <cell r="F1168">
            <v>886500</v>
          </cell>
          <cell r="G1168">
            <v>264300</v>
          </cell>
          <cell r="H1168">
            <v>93500</v>
          </cell>
          <cell r="I1168">
            <v>261700000</v>
          </cell>
          <cell r="J1168">
            <v>22490000</v>
          </cell>
        </row>
        <row r="1169">
          <cell r="A1169" t="str">
            <v>0500-03044-01</v>
          </cell>
          <cell r="B1169" t="str">
            <v>NewsCutter, Cuts only, DeskSide</v>
          </cell>
          <cell r="C1169">
            <v>32500</v>
          </cell>
          <cell r="D1169">
            <v>24400</v>
          </cell>
          <cell r="E1169">
            <v>29800</v>
          </cell>
          <cell r="F1169">
            <v>195300</v>
          </cell>
          <cell r="G1169">
            <v>58200</v>
          </cell>
          <cell r="H1169">
            <v>20600</v>
          </cell>
          <cell r="I1169">
            <v>57700000</v>
          </cell>
          <cell r="J1169">
            <v>4950000</v>
          </cell>
        </row>
        <row r="1170">
          <cell r="A1170" t="str">
            <v>0500-03045-01</v>
          </cell>
          <cell r="B1170" t="str">
            <v>NewsCutter, Cuts only, Rackmount</v>
          </cell>
          <cell r="C1170">
            <v>35900</v>
          </cell>
          <cell r="D1170">
            <v>26900</v>
          </cell>
          <cell r="E1170">
            <v>32900</v>
          </cell>
          <cell r="F1170">
            <v>215800</v>
          </cell>
          <cell r="G1170">
            <v>64300</v>
          </cell>
          <cell r="H1170">
            <v>22800</v>
          </cell>
          <cell r="I1170">
            <v>63700000</v>
          </cell>
          <cell r="J1170">
            <v>5470000</v>
          </cell>
        </row>
        <row r="1171">
          <cell r="A1171" t="str">
            <v>0500-03046-01</v>
          </cell>
          <cell r="B1171" t="str">
            <v>NewsCutter, DV, DeskSide</v>
          </cell>
          <cell r="C1171">
            <v>46500</v>
          </cell>
          <cell r="D1171">
            <v>34900</v>
          </cell>
          <cell r="E1171">
            <v>42600</v>
          </cell>
          <cell r="F1171">
            <v>279500</v>
          </cell>
          <cell r="G1171">
            <v>83300</v>
          </cell>
          <cell r="H1171">
            <v>29500</v>
          </cell>
          <cell r="I1171">
            <v>82500000</v>
          </cell>
          <cell r="J1171">
            <v>7090000</v>
          </cell>
        </row>
        <row r="1172">
          <cell r="A1172" t="str">
            <v>0010-03227-01</v>
          </cell>
          <cell r="B1172" t="str">
            <v>NC Effects Option, Dissolves/Titles</v>
          </cell>
          <cell r="C1172">
            <v>9500</v>
          </cell>
          <cell r="D1172">
            <v>7100</v>
          </cell>
          <cell r="E1172">
            <v>8700</v>
          </cell>
          <cell r="F1172">
            <v>57100</v>
          </cell>
          <cell r="G1172">
            <v>17000</v>
          </cell>
          <cell r="H1172">
            <v>6000</v>
          </cell>
          <cell r="I1172">
            <v>16900000</v>
          </cell>
          <cell r="J1172">
            <v>1450000</v>
          </cell>
        </row>
        <row r="1173">
          <cell r="A1173" t="str">
            <v>0510-03017-01</v>
          </cell>
          <cell r="B1173" t="str">
            <v>UPG, NC Cuts Only to NC EFFECTS Upgrade</v>
          </cell>
          <cell r="C1173">
            <v>7500</v>
          </cell>
          <cell r="D1173">
            <v>5600</v>
          </cell>
          <cell r="E1173">
            <v>6900</v>
          </cell>
          <cell r="F1173">
            <v>45100</v>
          </cell>
          <cell r="G1173">
            <v>13400</v>
          </cell>
          <cell r="H1173">
            <v>4800</v>
          </cell>
          <cell r="I1173">
            <v>13300000</v>
          </cell>
          <cell r="J1173">
            <v>1140000</v>
          </cell>
        </row>
        <row r="1174">
          <cell r="A1174" t="str">
            <v>0100-03145-01</v>
          </cell>
          <cell r="B1174" t="str">
            <v xml:space="preserve">Unity Dongle Updater for 1 User </v>
          </cell>
          <cell r="C1174">
            <v>0</v>
          </cell>
          <cell r="D1174">
            <v>0</v>
          </cell>
          <cell r="E1174">
            <v>0</v>
          </cell>
          <cell r="F1174">
            <v>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</row>
        <row r="1175">
          <cell r="A1175" t="str">
            <v>0100-03145-02</v>
          </cell>
          <cell r="B1175" t="str">
            <v>Unity Dongle Updater for 2 Users</v>
          </cell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</row>
        <row r="1176">
          <cell r="A1176" t="str">
            <v>0100-03145-03</v>
          </cell>
          <cell r="B1176" t="str">
            <v>Unity Dongle Updater for 3 Users</v>
          </cell>
          <cell r="C1176">
            <v>0</v>
          </cell>
          <cell r="D1176">
            <v>0</v>
          </cell>
          <cell r="E1176">
            <v>0</v>
          </cell>
          <cell r="F1176">
            <v>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</row>
        <row r="1177">
          <cell r="A1177" t="str">
            <v>0100-03145-04</v>
          </cell>
          <cell r="B1177" t="str">
            <v>Unity Dongle Updater for 4 Users</v>
          </cell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</row>
        <row r="1178">
          <cell r="A1178" t="str">
            <v>0100-03145-05</v>
          </cell>
          <cell r="B1178" t="str">
            <v>Unity Dongle Updater for 5 Users</v>
          </cell>
          <cell r="C1178">
            <v>0</v>
          </cell>
          <cell r="D1178">
            <v>0</v>
          </cell>
          <cell r="E1178">
            <v>0</v>
          </cell>
          <cell r="F1178">
            <v>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</row>
        <row r="1179">
          <cell r="A1179" t="str">
            <v>0100-03145-06</v>
          </cell>
          <cell r="B1179" t="str">
            <v>Unity Dongle Updater for 6 Users</v>
          </cell>
          <cell r="C1179">
            <v>0</v>
          </cell>
          <cell r="D1179">
            <v>0</v>
          </cell>
          <cell r="E1179">
            <v>0</v>
          </cell>
          <cell r="F1179">
            <v>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</row>
        <row r="1180">
          <cell r="A1180" t="str">
            <v>0100-03145-07</v>
          </cell>
          <cell r="B1180" t="str">
            <v>Unity Dongle Updater for 7 Users</v>
          </cell>
          <cell r="C1180">
            <v>0</v>
          </cell>
          <cell r="D1180">
            <v>0</v>
          </cell>
          <cell r="E1180">
            <v>0</v>
          </cell>
          <cell r="F1180">
            <v>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</row>
        <row r="1181">
          <cell r="A1181" t="str">
            <v>0100-03145-08</v>
          </cell>
          <cell r="B1181" t="str">
            <v>Unity Dongle Updater for 8 Users</v>
          </cell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</row>
        <row r="1182">
          <cell r="A1182" t="str">
            <v>0100-03145-09</v>
          </cell>
          <cell r="B1182" t="str">
            <v>Unity Dongle Updater for 9 Users</v>
          </cell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</row>
        <row r="1183">
          <cell r="A1183" t="str">
            <v>0070-00492-04</v>
          </cell>
          <cell r="B1183" t="str">
            <v>CBL,10M DUPLEX F/C COPPER</v>
          </cell>
          <cell r="C1183">
            <v>152</v>
          </cell>
          <cell r="D1183">
            <v>130</v>
          </cell>
          <cell r="E1183">
            <v>160</v>
          </cell>
          <cell r="F1183">
            <v>1050</v>
          </cell>
          <cell r="G1183">
            <v>310</v>
          </cell>
          <cell r="H1183">
            <v>110</v>
          </cell>
          <cell r="I1183">
            <v>311000</v>
          </cell>
          <cell r="J1183">
            <v>26700</v>
          </cell>
        </row>
        <row r="1184">
          <cell r="A1184" t="str">
            <v>0010-03369-01</v>
          </cell>
          <cell r="B1184" t="str">
            <v>Avid Unity/MediaNet Server</v>
          </cell>
          <cell r="C1184">
            <v>24995</v>
          </cell>
          <cell r="D1184">
            <v>18700</v>
          </cell>
          <cell r="E1184">
            <v>22900</v>
          </cell>
          <cell r="F1184">
            <v>150200</v>
          </cell>
          <cell r="G1184">
            <v>44800</v>
          </cell>
          <cell r="H1184">
            <v>15800</v>
          </cell>
          <cell r="I1184">
            <v>44300000</v>
          </cell>
          <cell r="J1184">
            <v>3810000</v>
          </cell>
        </row>
        <row r="1185">
          <cell r="A1185" t="str">
            <v>0010-03772-01</v>
          </cell>
          <cell r="B1185" t="str">
            <v>Avid Unity/Back-up Server Option</v>
          </cell>
          <cell r="C1185">
            <v>9995</v>
          </cell>
          <cell r="D1185">
            <v>7500</v>
          </cell>
          <cell r="E1185">
            <v>9200</v>
          </cell>
          <cell r="F1185">
            <v>60100</v>
          </cell>
          <cell r="G1185">
            <v>17900</v>
          </cell>
          <cell r="H1185">
            <v>6300</v>
          </cell>
          <cell r="I1185">
            <v>17700000</v>
          </cell>
          <cell r="J1185">
            <v>1520000</v>
          </cell>
        </row>
        <row r="1186">
          <cell r="A1186" t="str">
            <v>0100-03094-01</v>
          </cell>
          <cell r="B1186" t="str">
            <v>Avid Unity/UnityRAID Option</v>
          </cell>
          <cell r="C1186">
            <v>9995</v>
          </cell>
          <cell r="D1186">
            <v>7500</v>
          </cell>
          <cell r="E1186">
            <v>9200</v>
          </cell>
          <cell r="F1186">
            <v>60100</v>
          </cell>
          <cell r="G1186">
            <v>17900</v>
          </cell>
          <cell r="H1186">
            <v>6300</v>
          </cell>
          <cell r="I1186">
            <v>17700000</v>
          </cell>
          <cell r="J1186">
            <v>1520000</v>
          </cell>
        </row>
        <row r="1187">
          <cell r="A1187" t="str">
            <v>0040-00052-01</v>
          </cell>
          <cell r="B1187" t="str">
            <v>Avid Unity/MediaNet Server Monitor Option</v>
          </cell>
          <cell r="C1187">
            <v>895</v>
          </cell>
          <cell r="D1187">
            <v>670</v>
          </cell>
          <cell r="E1187">
            <v>820</v>
          </cell>
          <cell r="F1187">
            <v>5390</v>
          </cell>
          <cell r="G1187">
            <v>1610</v>
          </cell>
          <cell r="H1187">
            <v>570</v>
          </cell>
          <cell r="I1187">
            <v>1592000</v>
          </cell>
          <cell r="J1187">
            <v>136500</v>
          </cell>
        </row>
        <row r="1188">
          <cell r="A1188" t="str">
            <v>0010-03370-01</v>
          </cell>
          <cell r="B1188" t="str">
            <v>Avid Unity/MediaNet Client Software</v>
          </cell>
          <cell r="C1188">
            <v>995</v>
          </cell>
          <cell r="D1188">
            <v>750</v>
          </cell>
          <cell r="E1188">
            <v>910</v>
          </cell>
          <cell r="F1188">
            <v>6000</v>
          </cell>
          <cell r="G1188">
            <v>1790</v>
          </cell>
          <cell r="H1188">
            <v>630</v>
          </cell>
          <cell r="I1188">
            <v>1769000</v>
          </cell>
          <cell r="J1188">
            <v>151700</v>
          </cell>
        </row>
        <row r="1189">
          <cell r="A1189" t="str">
            <v>0010-03100-01</v>
          </cell>
          <cell r="B1189" t="str">
            <v>Avid Unity/MediaNet Client Connection License</v>
          </cell>
          <cell r="C1189">
            <v>3995</v>
          </cell>
          <cell r="D1189">
            <v>3000</v>
          </cell>
          <cell r="E1189">
            <v>3700</v>
          </cell>
          <cell r="F1189">
            <v>24000</v>
          </cell>
          <cell r="G1189">
            <v>7200</v>
          </cell>
          <cell r="H1189">
            <v>2500</v>
          </cell>
          <cell r="I1189">
            <v>7100000</v>
          </cell>
          <cell r="J1189">
            <v>610000</v>
          </cell>
        </row>
        <row r="1190">
          <cell r="A1190" t="str">
            <v>0010-03169-01</v>
          </cell>
          <cell r="B1190" t="str">
            <v>Avid Unity/MediaNet Client Software &amp; Conn. License</v>
          </cell>
          <cell r="C1190">
            <v>3995</v>
          </cell>
          <cell r="D1190">
            <v>3000</v>
          </cell>
          <cell r="E1190">
            <v>3700</v>
          </cell>
          <cell r="F1190">
            <v>24000</v>
          </cell>
          <cell r="G1190">
            <v>7200</v>
          </cell>
          <cell r="H1190">
            <v>2500</v>
          </cell>
          <cell r="I1190">
            <v>7100000</v>
          </cell>
          <cell r="J1190">
            <v>610000</v>
          </cell>
        </row>
        <row r="1191">
          <cell r="A1191" t="str">
            <v>0010-00958-01</v>
          </cell>
          <cell r="B1191" t="str">
            <v>Avid Unity/MediaNet Client Bundle</v>
          </cell>
          <cell r="C1191">
            <v>5490</v>
          </cell>
          <cell r="D1191">
            <v>4100</v>
          </cell>
          <cell r="E1191">
            <v>5000</v>
          </cell>
          <cell r="F1191">
            <v>33000</v>
          </cell>
          <cell r="G1191">
            <v>9800</v>
          </cell>
          <cell r="H1191">
            <v>3500</v>
          </cell>
          <cell r="I1191">
            <v>9700000</v>
          </cell>
          <cell r="J1191">
            <v>840000</v>
          </cell>
        </row>
        <row r="1192">
          <cell r="A1192" t="str">
            <v>0080-00141-01</v>
          </cell>
          <cell r="B1192" t="str">
            <v>Avid Unity/MEDIArray Link control Card (LCC)</v>
          </cell>
          <cell r="C1192">
            <v>891</v>
          </cell>
          <cell r="D1192">
            <v>800</v>
          </cell>
          <cell r="E1192">
            <v>1000</v>
          </cell>
          <cell r="F1192">
            <v>6600</v>
          </cell>
          <cell r="G1192">
            <v>2000</v>
          </cell>
          <cell r="H1192">
            <v>700</v>
          </cell>
          <cell r="I1192">
            <v>1900000</v>
          </cell>
          <cell r="J1192">
            <v>170000</v>
          </cell>
        </row>
        <row r="1193">
          <cell r="A1193" t="str">
            <v>0080-00140-01</v>
          </cell>
          <cell r="B1193" t="str">
            <v>Avid Unity/MEDIAHub (9 Port)</v>
          </cell>
          <cell r="C1193">
            <v>3795</v>
          </cell>
          <cell r="D1193">
            <v>2800</v>
          </cell>
          <cell r="E1193">
            <v>3500</v>
          </cell>
          <cell r="F1193">
            <v>22800</v>
          </cell>
          <cell r="G1193">
            <v>6800</v>
          </cell>
          <cell r="H1193">
            <v>2400</v>
          </cell>
          <cell r="I1193">
            <v>6700000</v>
          </cell>
          <cell r="J1193">
            <v>580000</v>
          </cell>
        </row>
        <row r="1194">
          <cell r="A1194" t="str">
            <v>0890-00114-01</v>
          </cell>
          <cell r="B1194" t="str">
            <v>Single Hub Rack Kit</v>
          </cell>
          <cell r="C1194">
            <v>95</v>
          </cell>
          <cell r="D1194">
            <v>100</v>
          </cell>
          <cell r="E1194">
            <v>100</v>
          </cell>
          <cell r="F1194">
            <v>600</v>
          </cell>
          <cell r="G1194">
            <v>200</v>
          </cell>
          <cell r="H1194">
            <v>100</v>
          </cell>
          <cell r="I1194">
            <v>200000</v>
          </cell>
          <cell r="J1194">
            <v>10000</v>
          </cell>
        </row>
        <row r="1195">
          <cell r="A1195" t="str">
            <v>0890-00012-01</v>
          </cell>
          <cell r="B1195" t="str">
            <v>Avid Unity/MediaNet 68 Inch (36RU) Rack</v>
          </cell>
          <cell r="C1195">
            <v>5595</v>
          </cell>
          <cell r="D1195">
            <v>4200</v>
          </cell>
          <cell r="E1195">
            <v>5100</v>
          </cell>
          <cell r="F1195">
            <v>33600</v>
          </cell>
          <cell r="G1195">
            <v>10000</v>
          </cell>
          <cell r="H1195">
            <v>3500</v>
          </cell>
          <cell r="I1195">
            <v>9900000</v>
          </cell>
          <cell r="J1195">
            <v>850000</v>
          </cell>
        </row>
        <row r="1196">
          <cell r="A1196" t="str">
            <v>0840-03002-01</v>
          </cell>
          <cell r="B1196" t="str">
            <v>Avid Unity/MediaNet Uninterruptable Power upply (UPS)</v>
          </cell>
          <cell r="C1196">
            <v>2295</v>
          </cell>
          <cell r="D1196">
            <v>1700</v>
          </cell>
          <cell r="E1196">
            <v>2100</v>
          </cell>
          <cell r="F1196">
            <v>13800</v>
          </cell>
          <cell r="G1196">
            <v>4100</v>
          </cell>
          <cell r="H1196">
            <v>1500</v>
          </cell>
          <cell r="I1196">
            <v>4100000</v>
          </cell>
          <cell r="J1196">
            <v>350000</v>
          </cell>
        </row>
        <row r="1197">
          <cell r="A1197" t="str">
            <v>0070-00492-03</v>
          </cell>
          <cell r="B1197" t="str">
            <v>Avid Unity/MediaNet Certified Copper Cable - 3m length</v>
          </cell>
          <cell r="C1197">
            <v>83</v>
          </cell>
          <cell r="D1197">
            <v>70</v>
          </cell>
          <cell r="E1197">
            <v>90</v>
          </cell>
          <cell r="F1197">
            <v>570</v>
          </cell>
          <cell r="G1197">
            <v>170</v>
          </cell>
          <cell r="H1197">
            <v>60</v>
          </cell>
          <cell r="I1197">
            <v>169000</v>
          </cell>
          <cell r="J1197">
            <v>14500</v>
          </cell>
        </row>
        <row r="1198">
          <cell r="A1198" t="str">
            <v>0070-00493-04</v>
          </cell>
          <cell r="B1198" t="str">
            <v>Avid Unity/MediaNet Certified Copper Cable - 30m length</v>
          </cell>
          <cell r="C1198">
            <v>344</v>
          </cell>
          <cell r="D1198">
            <v>300</v>
          </cell>
          <cell r="E1198">
            <v>360</v>
          </cell>
          <cell r="F1198">
            <v>2380</v>
          </cell>
          <cell r="G1198">
            <v>710</v>
          </cell>
          <cell r="H1198">
            <v>250</v>
          </cell>
          <cell r="I1198">
            <v>702000</v>
          </cell>
          <cell r="J1198">
            <v>60200</v>
          </cell>
        </row>
        <row r="1199">
          <cell r="A1199" t="str">
            <v>0070-00490-01</v>
          </cell>
          <cell r="B1199" t="str">
            <v>Avid Unity/MediaNet Media Interface Adapter (MIA)</v>
          </cell>
          <cell r="C1199">
            <v>521</v>
          </cell>
          <cell r="D1199">
            <v>390</v>
          </cell>
          <cell r="E1199">
            <v>480</v>
          </cell>
          <cell r="F1199">
            <v>3130</v>
          </cell>
          <cell r="G1199">
            <v>930</v>
          </cell>
          <cell r="H1199">
            <v>330</v>
          </cell>
          <cell r="I1199">
            <v>924000</v>
          </cell>
          <cell r="J1199">
            <v>79400</v>
          </cell>
        </row>
        <row r="1200">
          <cell r="A1200" t="str">
            <v>0070-00398-01</v>
          </cell>
          <cell r="B1200" t="str">
            <v xml:space="preserve">SDI PCI TOP Cable </v>
          </cell>
          <cell r="C1200">
            <v>50</v>
          </cell>
          <cell r="D1200">
            <v>40</v>
          </cell>
          <cell r="E1200">
            <v>40</v>
          </cell>
          <cell r="F1200">
            <v>290</v>
          </cell>
          <cell r="G1200">
            <v>90</v>
          </cell>
          <cell r="H1200">
            <v>30</v>
          </cell>
          <cell r="I1200">
            <v>86000</v>
          </cell>
          <cell r="J1200">
            <v>7400</v>
          </cell>
        </row>
        <row r="1201">
          <cell r="B1201" t="str">
            <v>Digital Studio-Assurance Plus Contract Renewal</v>
          </cell>
          <cell r="C1201">
            <v>5770</v>
          </cell>
          <cell r="D1201">
            <v>4300</v>
          </cell>
          <cell r="E1201">
            <v>5300</v>
          </cell>
          <cell r="F1201">
            <v>34700</v>
          </cell>
          <cell r="G1201">
            <v>10300</v>
          </cell>
          <cell r="H1201">
            <v>3700</v>
          </cell>
          <cell r="I1201">
            <v>10200000</v>
          </cell>
          <cell r="J1201">
            <v>880000</v>
          </cell>
        </row>
        <row r="1202">
          <cell r="A1202" t="str">
            <v>0510-03026-01</v>
          </cell>
          <cell r="B1202" t="str">
            <v>Beta - Upg Symphony v1.x to v2.x</v>
          </cell>
          <cell r="C1202">
            <v>0</v>
          </cell>
          <cell r="D1202">
            <v>0</v>
          </cell>
          <cell r="E1202">
            <v>0</v>
          </cell>
          <cell r="F1202">
            <v>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</row>
        <row r="1203">
          <cell r="A1203" t="str">
            <v>0010-03364-02</v>
          </cell>
          <cell r="B1203" t="str">
            <v>Beta Meridien 2 Beta Board Upgrade</v>
          </cell>
          <cell r="C1203">
            <v>9758</v>
          </cell>
          <cell r="D1203">
            <v>9758</v>
          </cell>
          <cell r="E1203">
            <v>8900</v>
          </cell>
          <cell r="F1203">
            <v>58600</v>
          </cell>
          <cell r="G1203">
            <v>17500</v>
          </cell>
          <cell r="H1203">
            <v>6200</v>
          </cell>
          <cell r="I1203">
            <v>17300000</v>
          </cell>
          <cell r="J1203">
            <v>1490000</v>
          </cell>
        </row>
        <row r="1204">
          <cell r="A1204" t="str">
            <v>0030-03026-01</v>
          </cell>
          <cell r="B1204" t="str">
            <v>Beta PCA Mercedes 3D FX</v>
          </cell>
          <cell r="C1204">
            <v>5844</v>
          </cell>
          <cell r="D1204">
            <v>5844</v>
          </cell>
          <cell r="E1204">
            <v>5400</v>
          </cell>
          <cell r="F1204">
            <v>35100</v>
          </cell>
          <cell r="G1204">
            <v>10500</v>
          </cell>
          <cell r="H1204">
            <v>3700</v>
          </cell>
          <cell r="I1204">
            <v>10400000</v>
          </cell>
          <cell r="J1204">
            <v>890000</v>
          </cell>
        </row>
        <row r="1205">
          <cell r="A1205" t="str">
            <v>0500-03054-01</v>
          </cell>
          <cell r="B1205" t="str">
            <v xml:space="preserve">Beta Identifier Symphony 2.0 </v>
          </cell>
          <cell r="C1205">
            <v>0</v>
          </cell>
          <cell r="D1205">
            <v>0</v>
          </cell>
          <cell r="E1205">
            <v>0</v>
          </cell>
          <cell r="F1205">
            <v>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</row>
        <row r="1206">
          <cell r="A1206" t="str">
            <v>0010-03363-01</v>
          </cell>
          <cell r="B1206" t="str">
            <v>Beta Symphony/MC System Kit</v>
          </cell>
          <cell r="C1206">
            <v>9758</v>
          </cell>
          <cell r="D1206">
            <v>7300</v>
          </cell>
          <cell r="E1206">
            <v>8900</v>
          </cell>
          <cell r="F1206">
            <v>58600</v>
          </cell>
          <cell r="G1206">
            <v>17500</v>
          </cell>
          <cell r="H1206">
            <v>6200</v>
          </cell>
          <cell r="I1206">
            <v>17300000</v>
          </cell>
          <cell r="J1206">
            <v>1490000</v>
          </cell>
        </row>
        <row r="1207">
          <cell r="A1207" t="str">
            <v>0010-03372-01</v>
          </cell>
          <cell r="B1207" t="str">
            <v>LVD Controller Kit</v>
          </cell>
          <cell r="C1207">
            <v>1215</v>
          </cell>
          <cell r="D1207">
            <v>900</v>
          </cell>
          <cell r="E1207">
            <v>1100</v>
          </cell>
          <cell r="F1207">
            <v>7300</v>
          </cell>
          <cell r="G1207">
            <v>2200</v>
          </cell>
          <cell r="H1207">
            <v>800</v>
          </cell>
          <cell r="I1207">
            <v>2200000</v>
          </cell>
          <cell r="J1207">
            <v>190000</v>
          </cell>
        </row>
        <row r="1208">
          <cell r="A1208" t="str">
            <v>0020-03027-01</v>
          </cell>
          <cell r="B1208" t="str">
            <v>MediaDock LVD Deskside Chassis - Base System</v>
          </cell>
          <cell r="C1208">
            <v>3280</v>
          </cell>
          <cell r="D1208">
            <v>2500</v>
          </cell>
          <cell r="E1208">
            <v>3000</v>
          </cell>
          <cell r="F1208">
            <v>19700</v>
          </cell>
          <cell r="G1208">
            <v>5900</v>
          </cell>
          <cell r="H1208">
            <v>2100</v>
          </cell>
          <cell r="I1208">
            <v>5800000</v>
          </cell>
          <cell r="J1208">
            <v>500000</v>
          </cell>
        </row>
        <row r="1209">
          <cell r="A1209" t="str">
            <v>0020-03026-01</v>
          </cell>
          <cell r="B1209" t="str">
            <v>MediaDock LVD 18GB Shuttle</v>
          </cell>
          <cell r="C1209">
            <v>1885</v>
          </cell>
          <cell r="D1209">
            <v>1500</v>
          </cell>
          <cell r="E1209">
            <v>1800</v>
          </cell>
          <cell r="F1209">
            <v>12000</v>
          </cell>
          <cell r="G1209">
            <v>3600</v>
          </cell>
          <cell r="H1209">
            <v>1300</v>
          </cell>
          <cell r="I1209">
            <v>3500000</v>
          </cell>
          <cell r="J1209">
            <v>300000</v>
          </cell>
        </row>
        <row r="1210">
          <cell r="A1210" t="str">
            <v>0500-03060-01</v>
          </cell>
          <cell r="B1210" t="str">
            <v>Beta Identifier Film Composer XL</v>
          </cell>
          <cell r="C1210">
            <v>0</v>
          </cell>
          <cell r="D1210">
            <v>0</v>
          </cell>
          <cell r="E1210">
            <v>0</v>
          </cell>
          <cell r="F1210">
            <v>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</row>
        <row r="1211">
          <cell r="A1211" t="str">
            <v>0030-00254-01</v>
          </cell>
          <cell r="B1211" t="str">
            <v>Beta Orders Only PCI Genie Card</v>
          </cell>
          <cell r="C1211">
            <v>2994</v>
          </cell>
          <cell r="D1211">
            <v>2994</v>
          </cell>
          <cell r="E1211">
            <v>2700</v>
          </cell>
          <cell r="F1211">
            <v>18000</v>
          </cell>
          <cell r="G1211">
            <v>5400</v>
          </cell>
          <cell r="H1211">
            <v>1900</v>
          </cell>
          <cell r="I1211">
            <v>5300000</v>
          </cell>
          <cell r="J1211">
            <v>460000</v>
          </cell>
        </row>
        <row r="1212">
          <cell r="A1212" t="str">
            <v>0020-03034-01</v>
          </cell>
          <cell r="B1212" t="str">
            <v>18GB rS Plus LVD Drive</v>
          </cell>
          <cell r="C1212">
            <v>1885</v>
          </cell>
          <cell r="D1212">
            <v>1400</v>
          </cell>
          <cell r="E1212">
            <v>1700</v>
          </cell>
          <cell r="F1212">
            <v>11300</v>
          </cell>
          <cell r="G1212">
            <v>3400</v>
          </cell>
          <cell r="H1212">
            <v>1200</v>
          </cell>
          <cell r="I1212">
            <v>3300000</v>
          </cell>
          <cell r="J1212">
            <v>290000</v>
          </cell>
        </row>
        <row r="1213">
          <cell r="A1213" t="str">
            <v>0010-03172-01</v>
          </cell>
          <cell r="B1213" t="str">
            <v>Avidnet Transfer Tool for Media Composer v 8.0</v>
          </cell>
          <cell r="C1213">
            <v>595</v>
          </cell>
          <cell r="D1213">
            <v>800</v>
          </cell>
          <cell r="E1213">
            <v>1000</v>
          </cell>
          <cell r="F1213">
            <v>6600</v>
          </cell>
          <cell r="G1213">
            <v>2000</v>
          </cell>
          <cell r="H1213">
            <v>700</v>
          </cell>
          <cell r="I1213">
            <v>2000000</v>
          </cell>
          <cell r="J1213">
            <v>170000</v>
          </cell>
        </row>
        <row r="1214">
          <cell r="A1214" t="str">
            <v>0560-03112-01</v>
          </cell>
          <cell r="B1214" t="str">
            <v>Upgrade Intraframe MAC Meridien Upgs ONLY</v>
          </cell>
          <cell r="C1214">
            <v>0</v>
          </cell>
          <cell r="D1214">
            <v>0</v>
          </cell>
          <cell r="E1214">
            <v>0</v>
          </cell>
          <cell r="F1214">
            <v>0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</row>
        <row r="1215">
          <cell r="A1215" t="str">
            <v>0560-03111-01</v>
          </cell>
          <cell r="B1215" t="str">
            <v>Upgrade Intraframe NT Meridien Upgs ONLY</v>
          </cell>
          <cell r="C1215">
            <v>0</v>
          </cell>
          <cell r="D1215">
            <v>0</v>
          </cell>
          <cell r="E1215">
            <v>0</v>
          </cell>
          <cell r="F1215">
            <v>0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</row>
        <row r="1216">
          <cell r="A1216" t="str">
            <v>0500-03061-01</v>
          </cell>
          <cell r="B1216" t="str">
            <v>Unity 3-User / Switch / 180GB Unity raid</v>
          </cell>
          <cell r="C1216">
            <v>53850</v>
          </cell>
          <cell r="D1216">
            <v>53850</v>
          </cell>
          <cell r="E1216">
            <v>49300</v>
          </cell>
          <cell r="F1216">
            <v>323600</v>
          </cell>
          <cell r="G1216">
            <v>96500</v>
          </cell>
          <cell r="H1216">
            <v>34100</v>
          </cell>
          <cell r="I1216">
            <v>95500000</v>
          </cell>
          <cell r="J1216">
            <v>8210000</v>
          </cell>
        </row>
        <row r="1217">
          <cell r="A1217" t="str">
            <v>0100-03119-01</v>
          </cell>
          <cell r="B1217" t="str">
            <v>Upgrade 24 Tracks NT Meridien Upgs ONLY</v>
          </cell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G1217">
            <v>0</v>
          </cell>
          <cell r="H1217">
            <v>0</v>
          </cell>
          <cell r="I1217">
            <v>0</v>
          </cell>
          <cell r="J1217">
            <v>0</v>
          </cell>
        </row>
        <row r="1218">
          <cell r="A1218" t="str">
            <v>0560-03110-01</v>
          </cell>
          <cell r="B1218" t="str">
            <v>Upgrade 24 Tracks MAC Meridien Upgs ONLY</v>
          </cell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G1218">
            <v>0</v>
          </cell>
          <cell r="H1218">
            <v>0</v>
          </cell>
          <cell r="I1218">
            <v>0</v>
          </cell>
          <cell r="J1218">
            <v>0</v>
          </cell>
        </row>
        <row r="1219">
          <cell r="A1219" t="str">
            <v>0560-03107-01</v>
          </cell>
          <cell r="B1219" t="str">
            <v>Upgrade Filmscribe NT Meridien Upgs ONLY</v>
          </cell>
          <cell r="C1219">
            <v>0</v>
          </cell>
          <cell r="D1219">
            <v>0</v>
          </cell>
          <cell r="E1219">
            <v>0</v>
          </cell>
          <cell r="F1219">
            <v>0</v>
          </cell>
          <cell r="G1219">
            <v>0</v>
          </cell>
          <cell r="H1219">
            <v>0</v>
          </cell>
          <cell r="I1219">
            <v>0</v>
          </cell>
          <cell r="J1219">
            <v>0</v>
          </cell>
        </row>
        <row r="1220">
          <cell r="A1220" t="str">
            <v>0560-03108-01</v>
          </cell>
          <cell r="B1220" t="str">
            <v>Upgrade Filmscribe MAC Meridien Upgs ONLY</v>
          </cell>
          <cell r="C1220">
            <v>0</v>
          </cell>
          <cell r="D1220">
            <v>0</v>
          </cell>
          <cell r="E1220">
            <v>0</v>
          </cell>
          <cell r="F1220">
            <v>0</v>
          </cell>
          <cell r="G1220">
            <v>0</v>
          </cell>
          <cell r="H1220">
            <v>0</v>
          </cell>
          <cell r="I1220">
            <v>0</v>
          </cell>
          <cell r="J1220">
            <v>0</v>
          </cell>
        </row>
        <row r="1221">
          <cell r="A1221" t="str">
            <v>0510-03106-01</v>
          </cell>
          <cell r="B1221" t="str">
            <v xml:space="preserve">Trade up NuBus NuVista to Meridien Mac </v>
          </cell>
          <cell r="C1221">
            <v>0</v>
          </cell>
          <cell r="D1221">
            <v>0</v>
          </cell>
          <cell r="E1221">
            <v>0</v>
          </cell>
          <cell r="F1221">
            <v>0</v>
          </cell>
          <cell r="G1221">
            <v>0</v>
          </cell>
          <cell r="H1221">
            <v>0</v>
          </cell>
          <cell r="I1221">
            <v>0</v>
          </cell>
          <cell r="J1221">
            <v>0</v>
          </cell>
        </row>
        <row r="1222">
          <cell r="A1222" t="str">
            <v>0020-03028-01</v>
          </cell>
          <cell r="B1222" t="str">
            <v>MediaDock LVD Rackmount Chassis - Base System</v>
          </cell>
          <cell r="C1222">
            <v>2995</v>
          </cell>
          <cell r="D1222">
            <v>2200</v>
          </cell>
          <cell r="E1222">
            <v>2700</v>
          </cell>
          <cell r="F1222">
            <v>18000</v>
          </cell>
          <cell r="G1222">
            <v>5400</v>
          </cell>
          <cell r="H1222">
            <v>1900</v>
          </cell>
          <cell r="I1222">
            <v>5300000</v>
          </cell>
          <cell r="J1222">
            <v>460000</v>
          </cell>
        </row>
        <row r="1223">
          <cell r="A1223" t="str">
            <v>0020-03025-01</v>
          </cell>
          <cell r="B1223" t="str">
            <v>MediaDock LVD 9GB Shuttle</v>
          </cell>
          <cell r="C1223">
            <v>1100</v>
          </cell>
          <cell r="D1223">
            <v>800</v>
          </cell>
          <cell r="E1223">
            <v>1000</v>
          </cell>
          <cell r="F1223">
            <v>6600</v>
          </cell>
          <cell r="G1223">
            <v>2000</v>
          </cell>
          <cell r="H1223">
            <v>700</v>
          </cell>
          <cell r="I1223">
            <v>2000000</v>
          </cell>
          <cell r="J1223">
            <v>170000</v>
          </cell>
        </row>
        <row r="1224">
          <cell r="A1224" t="str">
            <v>0020-03033-01</v>
          </cell>
          <cell r="B1224" t="str">
            <v>9GB rS Plus LVD Drive</v>
          </cell>
          <cell r="C1224">
            <v>1269</v>
          </cell>
          <cell r="D1224">
            <v>1000</v>
          </cell>
          <cell r="E1224">
            <v>1200</v>
          </cell>
          <cell r="F1224">
            <v>7600</v>
          </cell>
          <cell r="G1224">
            <v>2300</v>
          </cell>
          <cell r="H1224">
            <v>800</v>
          </cell>
          <cell r="I1224">
            <v>2300000</v>
          </cell>
          <cell r="J1224">
            <v>190000</v>
          </cell>
        </row>
        <row r="1225">
          <cell r="A1225" t="str">
            <v>0070-00502-01</v>
          </cell>
          <cell r="B1225" t="str">
            <v>40" LVD Drive Cable</v>
          </cell>
          <cell r="C1225">
            <v>84</v>
          </cell>
          <cell r="D1225">
            <v>100</v>
          </cell>
          <cell r="E1225">
            <v>100</v>
          </cell>
          <cell r="F1225">
            <v>500</v>
          </cell>
          <cell r="G1225">
            <v>200</v>
          </cell>
          <cell r="H1225">
            <v>100</v>
          </cell>
          <cell r="I1225">
            <v>100000</v>
          </cell>
          <cell r="J1225">
            <v>10000</v>
          </cell>
        </row>
        <row r="1226">
          <cell r="A1226" t="str">
            <v>0070-03016-01</v>
          </cell>
          <cell r="B1226" t="str">
            <v>10' LVD Drive Cable</v>
          </cell>
          <cell r="C1226">
            <v>111</v>
          </cell>
          <cell r="D1226">
            <v>100</v>
          </cell>
          <cell r="E1226">
            <v>100</v>
          </cell>
          <cell r="F1226">
            <v>700</v>
          </cell>
          <cell r="G1226">
            <v>200</v>
          </cell>
          <cell r="H1226">
            <v>100</v>
          </cell>
          <cell r="I1226">
            <v>200000</v>
          </cell>
          <cell r="J1226">
            <v>20000</v>
          </cell>
        </row>
        <row r="1227">
          <cell r="A1227" t="str">
            <v>0070-03016-02</v>
          </cell>
          <cell r="B1227" t="str">
            <v>30' LVD Drive Cable</v>
          </cell>
          <cell r="C1227">
            <v>182</v>
          </cell>
          <cell r="D1227">
            <v>100</v>
          </cell>
          <cell r="E1227">
            <v>200</v>
          </cell>
          <cell r="F1227">
            <v>1100</v>
          </cell>
          <cell r="G1227">
            <v>300</v>
          </cell>
          <cell r="H1227">
            <v>100</v>
          </cell>
          <cell r="I1227">
            <v>300000</v>
          </cell>
          <cell r="J1227">
            <v>30000</v>
          </cell>
        </row>
        <row r="1228">
          <cell r="A1228" t="str">
            <v>0070-00442-01</v>
          </cell>
          <cell r="B1228" t="str">
            <v xml:space="preserve">Wide to Narrow Terminator </v>
          </cell>
          <cell r="C1228">
            <v>55</v>
          </cell>
          <cell r="D1228">
            <v>40</v>
          </cell>
          <cell r="E1228">
            <v>50</v>
          </cell>
          <cell r="F1228">
            <v>330</v>
          </cell>
          <cell r="G1228">
            <v>100</v>
          </cell>
          <cell r="H1228">
            <v>30</v>
          </cell>
          <cell r="I1228">
            <v>98000</v>
          </cell>
          <cell r="J1228">
            <v>8400</v>
          </cell>
        </row>
        <row r="1229">
          <cell r="A1229" t="str">
            <v>0010-03373-01</v>
          </cell>
          <cell r="B1229" t="str">
            <v>Avid Unity/Back-up Server Option</v>
          </cell>
          <cell r="C1229">
            <v>12495</v>
          </cell>
          <cell r="D1229">
            <v>9400</v>
          </cell>
          <cell r="E1229">
            <v>11400</v>
          </cell>
          <cell r="F1229">
            <v>75100</v>
          </cell>
          <cell r="G1229">
            <v>22400</v>
          </cell>
          <cell r="H1229">
            <v>7900</v>
          </cell>
          <cell r="I1229">
            <v>22200000</v>
          </cell>
          <cell r="J1229">
            <v>1900000</v>
          </cell>
        </row>
        <row r="1230">
          <cell r="A1230" t="str">
            <v>0100-03160-01</v>
          </cell>
          <cell r="B1230" t="str">
            <v>Avid Unity/MediaNet UnityRAID Upgrade</v>
          </cell>
          <cell r="C1230">
            <v>6995</v>
          </cell>
          <cell r="D1230">
            <v>5200</v>
          </cell>
          <cell r="E1230">
            <v>6400</v>
          </cell>
          <cell r="F1230">
            <v>42000</v>
          </cell>
          <cell r="G1230">
            <v>12500</v>
          </cell>
          <cell r="H1230">
            <v>4400</v>
          </cell>
          <cell r="I1230">
            <v>12400000</v>
          </cell>
          <cell r="J1230">
            <v>1070000</v>
          </cell>
        </row>
        <row r="1231">
          <cell r="A1231" t="str">
            <v>0060-00060-01</v>
          </cell>
          <cell r="B1231" t="str">
            <v>Avid Unity/Keyboard Tray</v>
          </cell>
          <cell r="C1231">
            <v>195</v>
          </cell>
          <cell r="D1231">
            <v>80</v>
          </cell>
          <cell r="E1231">
            <v>180</v>
          </cell>
          <cell r="F1231">
            <v>1170</v>
          </cell>
          <cell r="G1231">
            <v>350</v>
          </cell>
          <cell r="H1231">
            <v>120</v>
          </cell>
          <cell r="I1231">
            <v>346000</v>
          </cell>
          <cell r="J1231">
            <v>29700</v>
          </cell>
        </row>
        <row r="1232">
          <cell r="A1232" t="str">
            <v>0010-03081-01</v>
          </cell>
          <cell r="B1232" t="str">
            <v>Avid Unity/MEDIArray Rack Chassis + 180GB</v>
          </cell>
          <cell r="C1232">
            <v>25493</v>
          </cell>
          <cell r="D1232">
            <v>19100</v>
          </cell>
          <cell r="E1232">
            <v>23400</v>
          </cell>
          <cell r="F1232">
            <v>153200</v>
          </cell>
          <cell r="G1232">
            <v>45700</v>
          </cell>
          <cell r="H1232">
            <v>16200</v>
          </cell>
          <cell r="I1232">
            <v>45200000</v>
          </cell>
          <cell r="J1232">
            <v>3890000</v>
          </cell>
        </row>
        <row r="1233">
          <cell r="A1233" t="str">
            <v>0010-03158-01</v>
          </cell>
          <cell r="B1233" t="str">
            <v>Avid Cinema for Mac</v>
          </cell>
          <cell r="C1233">
            <v>299</v>
          </cell>
          <cell r="D1233">
            <v>220</v>
          </cell>
          <cell r="E1233">
            <v>270</v>
          </cell>
          <cell r="F1233">
            <v>1800</v>
          </cell>
          <cell r="G1233">
            <v>540</v>
          </cell>
          <cell r="H1233">
            <v>200</v>
          </cell>
          <cell r="I1233">
            <v>530000</v>
          </cell>
          <cell r="J1233">
            <v>45600</v>
          </cell>
        </row>
        <row r="1234">
          <cell r="A1234" t="str">
            <v>0540-00806-01</v>
          </cell>
          <cell r="B1234" t="str">
            <v>Marquee or SGI &amp; NT-Assurance Plus</v>
          </cell>
          <cell r="C1234">
            <v>835</v>
          </cell>
          <cell r="D1234">
            <v>630</v>
          </cell>
          <cell r="E1234">
            <v>770</v>
          </cell>
          <cell r="F1234">
            <v>5020</v>
          </cell>
          <cell r="G1234">
            <v>1500</v>
          </cell>
          <cell r="H1234">
            <v>530</v>
          </cell>
          <cell r="I1234">
            <v>1481000</v>
          </cell>
          <cell r="J1234">
            <v>127300</v>
          </cell>
        </row>
        <row r="1235">
          <cell r="A1235" t="str">
            <v>0010-03443-01</v>
          </cell>
          <cell r="B1235" t="str">
            <v>Avid Xpress for Macintosh 2.0/2.1 Tutorial Kit</v>
          </cell>
          <cell r="C1235">
            <v>50</v>
          </cell>
          <cell r="D1235">
            <v>45</v>
          </cell>
          <cell r="E1235">
            <v>50</v>
          </cell>
          <cell r="F1235">
            <v>300</v>
          </cell>
          <cell r="G1235">
            <v>90</v>
          </cell>
          <cell r="H1235">
            <v>30</v>
          </cell>
          <cell r="I1235">
            <v>89000</v>
          </cell>
          <cell r="J1235">
            <v>7600</v>
          </cell>
        </row>
        <row r="1236">
          <cell r="A1236" t="str">
            <v>0020-03022-01</v>
          </cell>
          <cell r="B1236" t="str">
            <v xml:space="preserve"> rS rack mount kit</v>
          </cell>
          <cell r="C1236">
            <v>95</v>
          </cell>
          <cell r="D1236">
            <v>100</v>
          </cell>
          <cell r="E1236">
            <v>100</v>
          </cell>
          <cell r="F1236">
            <v>600</v>
          </cell>
          <cell r="G1236">
            <v>200</v>
          </cell>
          <cell r="H1236">
            <v>100</v>
          </cell>
          <cell r="I1236">
            <v>200000</v>
          </cell>
          <cell r="J1236">
            <v>10000</v>
          </cell>
        </row>
        <row r="1237">
          <cell r="A1237" t="str">
            <v>0510-03123-01</v>
          </cell>
          <cell r="B1237" t="str">
            <v>Upg XPM Elite to NT Elite</v>
          </cell>
          <cell r="C1237">
            <v>23000</v>
          </cell>
          <cell r="D1237">
            <v>17300</v>
          </cell>
          <cell r="E1237">
            <v>21100</v>
          </cell>
          <cell r="F1237">
            <v>138200</v>
          </cell>
          <cell r="G1237">
            <v>41200</v>
          </cell>
          <cell r="H1237">
            <v>14600</v>
          </cell>
          <cell r="I1237">
            <v>40800000</v>
          </cell>
          <cell r="J1237">
            <v>3510000</v>
          </cell>
        </row>
        <row r="1238">
          <cell r="A1238" t="str">
            <v>0510-03124-01</v>
          </cell>
          <cell r="B1238" t="str">
            <v>Upg XPM Delux to NT Elite</v>
          </cell>
          <cell r="C1238">
            <v>23000</v>
          </cell>
          <cell r="D1238">
            <v>17300</v>
          </cell>
          <cell r="E1238">
            <v>21100</v>
          </cell>
          <cell r="F1238">
            <v>138200</v>
          </cell>
          <cell r="G1238">
            <v>41200</v>
          </cell>
          <cell r="H1238">
            <v>14600</v>
          </cell>
          <cell r="I1238">
            <v>40800000</v>
          </cell>
          <cell r="J1238">
            <v>3510000</v>
          </cell>
        </row>
        <row r="1239">
          <cell r="A1239" t="str">
            <v>0510-03125-01</v>
          </cell>
          <cell r="B1239" t="str">
            <v>Upg XPM Plus to NT Delux</v>
          </cell>
          <cell r="C1239">
            <v>17000</v>
          </cell>
          <cell r="D1239">
            <v>12800</v>
          </cell>
          <cell r="E1239">
            <v>15600</v>
          </cell>
          <cell r="F1239">
            <v>102200</v>
          </cell>
          <cell r="G1239">
            <v>30500</v>
          </cell>
          <cell r="H1239">
            <v>10800</v>
          </cell>
          <cell r="I1239">
            <v>30200000</v>
          </cell>
          <cell r="J1239">
            <v>2590000</v>
          </cell>
        </row>
        <row r="1240">
          <cell r="A1240" t="str">
            <v>0510-03126-01</v>
          </cell>
          <cell r="B1240" t="str">
            <v>Upg XPM Base to NT Plus</v>
          </cell>
          <cell r="C1240">
            <v>16000</v>
          </cell>
          <cell r="D1240">
            <v>12000</v>
          </cell>
          <cell r="E1240">
            <v>14700</v>
          </cell>
          <cell r="F1240">
            <v>96200</v>
          </cell>
          <cell r="G1240">
            <v>28700</v>
          </cell>
          <cell r="H1240">
            <v>10100</v>
          </cell>
          <cell r="I1240">
            <v>28400000</v>
          </cell>
          <cell r="J1240">
            <v>2440000</v>
          </cell>
        </row>
        <row r="1241">
          <cell r="A1241" t="str">
            <v>0510-03127-01</v>
          </cell>
          <cell r="B1241" t="str">
            <v>Upg XPM ELite to MC1000 XL NT</v>
          </cell>
          <cell r="C1241">
            <v>33500</v>
          </cell>
          <cell r="D1241">
            <v>25100</v>
          </cell>
          <cell r="E1241">
            <v>30700</v>
          </cell>
          <cell r="F1241">
            <v>201300</v>
          </cell>
          <cell r="G1241">
            <v>60000</v>
          </cell>
          <cell r="H1241">
            <v>21200</v>
          </cell>
          <cell r="I1241">
            <v>59400000</v>
          </cell>
          <cell r="J1241">
            <v>5110000</v>
          </cell>
        </row>
        <row r="1242">
          <cell r="A1242" t="str">
            <v>0510-03128-01</v>
          </cell>
          <cell r="B1242" t="str">
            <v>Upg XPM ELite to MC1000 XL MAC</v>
          </cell>
          <cell r="C1242">
            <v>33500</v>
          </cell>
          <cell r="D1242">
            <v>25100</v>
          </cell>
          <cell r="E1242">
            <v>30700</v>
          </cell>
          <cell r="F1242">
            <v>201300</v>
          </cell>
          <cell r="G1242">
            <v>60000</v>
          </cell>
          <cell r="H1242">
            <v>21200</v>
          </cell>
          <cell r="I1242">
            <v>59400000</v>
          </cell>
          <cell r="J1242">
            <v>5110000</v>
          </cell>
        </row>
        <row r="1243">
          <cell r="A1243" t="str">
            <v>0500-03071-01</v>
          </cell>
          <cell r="B1243" t="str">
            <v>Education XPM Delux w/ Matchback, AVR 6, 8, 9</v>
          </cell>
          <cell r="C1243">
            <v>18000</v>
          </cell>
          <cell r="D1243">
            <v>13500</v>
          </cell>
          <cell r="E1243">
            <v>16500</v>
          </cell>
          <cell r="F1243">
            <v>108200</v>
          </cell>
          <cell r="G1243">
            <v>32300</v>
          </cell>
          <cell r="H1243">
            <v>11400</v>
          </cell>
          <cell r="I1243">
            <v>31900000</v>
          </cell>
          <cell r="J1243">
            <v>2740000</v>
          </cell>
        </row>
        <row r="1244">
          <cell r="A1244" t="str">
            <v>0500-03072-01</v>
          </cell>
          <cell r="B1244" t="str">
            <v>Education MC1000 2d + FIlm Option, Offline, CD ROM _x000B_&amp; Multicam</v>
          </cell>
          <cell r="C1244">
            <v>23000</v>
          </cell>
          <cell r="D1244">
            <v>17300</v>
          </cell>
          <cell r="E1244">
            <v>21100</v>
          </cell>
          <cell r="F1244">
            <v>138200</v>
          </cell>
          <cell r="G1244">
            <v>41200</v>
          </cell>
          <cell r="H1244">
            <v>14600</v>
          </cell>
          <cell r="I1244">
            <v>40800000</v>
          </cell>
          <cell r="J1244">
            <v>3510000</v>
          </cell>
        </row>
        <row r="1245">
          <cell r="B1245" t="str">
            <v>Unity Spares Kit</v>
          </cell>
          <cell r="C1245">
            <v>3218</v>
          </cell>
          <cell r="D1245">
            <v>2400</v>
          </cell>
          <cell r="E1245">
            <v>2900</v>
          </cell>
          <cell r="F1245">
            <v>19300</v>
          </cell>
          <cell r="G1245">
            <v>5800</v>
          </cell>
          <cell r="H1245">
            <v>2000</v>
          </cell>
          <cell r="I1245">
            <v>5700000</v>
          </cell>
          <cell r="J1245">
            <v>490000</v>
          </cell>
        </row>
        <row r="1246">
          <cell r="A1246" t="str">
            <v>0070-00438-03</v>
          </cell>
          <cell r="B1246" t="str">
            <v>50 foot extension cable for breakout box</v>
          </cell>
          <cell r="C1246">
            <v>350</v>
          </cell>
          <cell r="D1246">
            <v>300</v>
          </cell>
          <cell r="E1246">
            <v>300</v>
          </cell>
          <cell r="F1246">
            <v>2100</v>
          </cell>
          <cell r="G1246">
            <v>600</v>
          </cell>
          <cell r="H1246">
            <v>200</v>
          </cell>
          <cell r="I1246">
            <v>600000</v>
          </cell>
          <cell r="J1246">
            <v>50000</v>
          </cell>
        </row>
        <row r="1247">
          <cell r="A1247" t="str">
            <v>0030-00302-01</v>
          </cell>
          <cell r="B1247" t="str">
            <v>Avid PCI Janus board</v>
          </cell>
          <cell r="C1247">
            <v>3444</v>
          </cell>
          <cell r="D1247">
            <v>2600</v>
          </cell>
          <cell r="E1247">
            <v>3200</v>
          </cell>
          <cell r="F1247">
            <v>20700</v>
          </cell>
          <cell r="G1247">
            <v>6200</v>
          </cell>
          <cell r="H1247">
            <v>2200</v>
          </cell>
          <cell r="I1247">
            <v>6100000</v>
          </cell>
          <cell r="J1247">
            <v>530000</v>
          </cell>
        </row>
        <row r="1248">
          <cell r="B1248" t="str">
            <v>NC-DV Spares Kit</v>
          </cell>
          <cell r="C1248">
            <v>15600</v>
          </cell>
          <cell r="D1248">
            <v>11700</v>
          </cell>
          <cell r="E1248">
            <v>14300</v>
          </cell>
          <cell r="F1248">
            <v>93800</v>
          </cell>
          <cell r="G1248">
            <v>28000</v>
          </cell>
          <cell r="H1248">
            <v>9900</v>
          </cell>
          <cell r="I1248">
            <v>27700000</v>
          </cell>
          <cell r="J1248">
            <v>2380000</v>
          </cell>
        </row>
        <row r="1249">
          <cell r="A1249" t="str">
            <v>0070-03011-01</v>
          </cell>
          <cell r="B1249" t="str">
            <v>LVD/SE Multimode Terminator</v>
          </cell>
          <cell r="C1249">
            <v>55</v>
          </cell>
          <cell r="D1249">
            <v>40</v>
          </cell>
          <cell r="E1249">
            <v>50</v>
          </cell>
          <cell r="F1249">
            <v>330</v>
          </cell>
          <cell r="G1249">
            <v>100</v>
          </cell>
          <cell r="H1249">
            <v>30</v>
          </cell>
          <cell r="I1249">
            <v>98000</v>
          </cell>
          <cell r="J1249">
            <v>8400</v>
          </cell>
        </row>
        <row r="1250">
          <cell r="A1250" t="str">
            <v>0010-03419-01</v>
          </cell>
          <cell r="B1250" t="str">
            <v>Fibre Channel Connection Kits</v>
          </cell>
          <cell r="C1250">
            <v>6000</v>
          </cell>
          <cell r="D1250">
            <v>4500</v>
          </cell>
          <cell r="E1250">
            <v>5500</v>
          </cell>
          <cell r="F1250">
            <v>36100</v>
          </cell>
          <cell r="G1250">
            <v>10800</v>
          </cell>
          <cell r="H1250">
            <v>3800</v>
          </cell>
          <cell r="I1250">
            <v>10600000</v>
          </cell>
          <cell r="J1250">
            <v>910000</v>
          </cell>
        </row>
        <row r="1251">
          <cell r="A1251" t="str">
            <v>0030-00382-01</v>
          </cell>
          <cell r="B1251" t="str">
            <v>Serial Digital I/O Option</v>
          </cell>
          <cell r="C1251">
            <v>1250</v>
          </cell>
          <cell r="D1251">
            <v>900</v>
          </cell>
          <cell r="E1251">
            <v>1100</v>
          </cell>
          <cell r="F1251">
            <v>7500</v>
          </cell>
          <cell r="G1251">
            <v>2200</v>
          </cell>
          <cell r="H1251">
            <v>800</v>
          </cell>
          <cell r="I1251">
            <v>2200000</v>
          </cell>
          <cell r="J1251">
            <v>190000</v>
          </cell>
        </row>
        <row r="1252">
          <cell r="A1252" t="str">
            <v>0560-03076-01</v>
          </cell>
          <cell r="B1252" t="str">
            <v>NC Mac To NC Tower Upgrade</v>
          </cell>
          <cell r="C1252">
            <v>25000</v>
          </cell>
          <cell r="D1252">
            <v>18800</v>
          </cell>
          <cell r="E1252">
            <v>22900</v>
          </cell>
          <cell r="F1252">
            <v>150300</v>
          </cell>
          <cell r="G1252">
            <v>44800</v>
          </cell>
          <cell r="H1252">
            <v>15800</v>
          </cell>
          <cell r="I1252">
            <v>44400000</v>
          </cell>
          <cell r="J1252">
            <v>3810000</v>
          </cell>
        </row>
        <row r="1253">
          <cell r="A1253" t="str">
            <v>0560-03135-01</v>
          </cell>
          <cell r="B1253" t="str">
            <v>PRM, DISCOUNT Q3 99,MC1000 2D ABVB</v>
          </cell>
          <cell r="C1253">
            <v>-19152</v>
          </cell>
          <cell r="D1253">
            <v>-14400</v>
          </cell>
          <cell r="E1253">
            <v>-17500</v>
          </cell>
          <cell r="F1253">
            <v>-115100</v>
          </cell>
          <cell r="G1253">
            <v>-34300</v>
          </cell>
          <cell r="H1253">
            <v>-12100</v>
          </cell>
          <cell r="I1253">
            <v>-34000000</v>
          </cell>
          <cell r="J1253">
            <v>-2920000</v>
          </cell>
        </row>
        <row r="1254">
          <cell r="A1254" t="str">
            <v>0560-03136-01</v>
          </cell>
          <cell r="B1254" t="str">
            <v xml:space="preserve">PRM, DISCOUNT Q3 99,MC1000 3D ABVB </v>
          </cell>
          <cell r="C1254">
            <v>-23050</v>
          </cell>
          <cell r="D1254">
            <v>-17300</v>
          </cell>
          <cell r="E1254">
            <v>-21100</v>
          </cell>
          <cell r="F1254">
            <v>-138500</v>
          </cell>
          <cell r="G1254">
            <v>-41300</v>
          </cell>
          <cell r="H1254">
            <v>-14600</v>
          </cell>
          <cell r="I1254">
            <v>-40900000</v>
          </cell>
          <cell r="J1254">
            <v>-3510000</v>
          </cell>
        </row>
        <row r="1255">
          <cell r="A1255" t="str">
            <v>0560-03137-01</v>
          </cell>
          <cell r="B1255" t="str">
            <v xml:space="preserve">PRM, DISCOUNT Q3 99, MC Offline ABVB </v>
          </cell>
          <cell r="C1255">
            <v>-12525</v>
          </cell>
          <cell r="D1255">
            <v>-9400</v>
          </cell>
          <cell r="E1255">
            <v>-11500</v>
          </cell>
          <cell r="F1255">
            <v>-75300</v>
          </cell>
          <cell r="G1255">
            <v>-22400</v>
          </cell>
          <cell r="H1255">
            <v>-7900</v>
          </cell>
          <cell r="I1255">
            <v>-22200000</v>
          </cell>
          <cell r="J1255">
            <v>-1910000</v>
          </cell>
        </row>
        <row r="1256">
          <cell r="A1256" t="str">
            <v>0560-03138-01</v>
          </cell>
          <cell r="B1256" t="str">
            <v xml:space="preserve">PRM, DISCOUNT Q3 99, MC9000 ABVB </v>
          </cell>
          <cell r="C1256">
            <v>-56425</v>
          </cell>
          <cell r="D1256">
            <v>-42300</v>
          </cell>
          <cell r="E1256">
            <v>-51700</v>
          </cell>
          <cell r="F1256">
            <v>-339100</v>
          </cell>
          <cell r="G1256">
            <v>-101100</v>
          </cell>
          <cell r="H1256">
            <v>-35800</v>
          </cell>
          <cell r="I1256">
            <v>-100100000</v>
          </cell>
          <cell r="J1256">
            <v>-8600000</v>
          </cell>
        </row>
        <row r="1257">
          <cell r="A1257" t="str">
            <v>0560-03139-01</v>
          </cell>
          <cell r="B1257" t="str">
            <v xml:space="preserve">PRM, DISCOUNT Q3 99,Film Composer ABVB </v>
          </cell>
          <cell r="C1257">
            <v>-21750</v>
          </cell>
          <cell r="D1257">
            <v>-16300</v>
          </cell>
          <cell r="E1257">
            <v>-19900</v>
          </cell>
          <cell r="F1257">
            <v>-130700</v>
          </cell>
          <cell r="G1257">
            <v>-39000</v>
          </cell>
          <cell r="H1257">
            <v>-13800</v>
          </cell>
          <cell r="I1257">
            <v>-38600000</v>
          </cell>
          <cell r="J1257">
            <v>-3320000</v>
          </cell>
        </row>
        <row r="1258">
          <cell r="A1258" t="str">
            <v>0560-03140-01</v>
          </cell>
          <cell r="B1258" t="str">
            <v>PRM, Intraframe Editing MC NT</v>
          </cell>
          <cell r="C1258">
            <v>3000</v>
          </cell>
          <cell r="D1258">
            <v>2300</v>
          </cell>
          <cell r="E1258">
            <v>2700</v>
          </cell>
          <cell r="F1258">
            <v>18000</v>
          </cell>
          <cell r="G1258">
            <v>5400</v>
          </cell>
          <cell r="H1258">
            <v>1900</v>
          </cell>
          <cell r="I1258">
            <v>5300000</v>
          </cell>
          <cell r="J1258">
            <v>460000</v>
          </cell>
        </row>
        <row r="1259">
          <cell r="A1259" t="str">
            <v>0560-03141-01</v>
          </cell>
          <cell r="B1259" t="str">
            <v>PRM, FX Package NT</v>
          </cell>
          <cell r="C1259">
            <v>12500</v>
          </cell>
          <cell r="D1259">
            <v>9400</v>
          </cell>
          <cell r="E1259">
            <v>11500</v>
          </cell>
          <cell r="F1259">
            <v>75100</v>
          </cell>
          <cell r="G1259">
            <v>22400</v>
          </cell>
          <cell r="H1259">
            <v>7900</v>
          </cell>
          <cell r="I1259">
            <v>22200000</v>
          </cell>
          <cell r="J1259">
            <v>1910000</v>
          </cell>
        </row>
        <row r="1260">
          <cell r="A1260" t="str">
            <v>0560-03142-01</v>
          </cell>
          <cell r="B1260" t="str">
            <v>PRM, 1:1, One stream Option NT</v>
          </cell>
          <cell r="C1260">
            <v>5000</v>
          </cell>
          <cell r="D1260">
            <v>3800</v>
          </cell>
          <cell r="E1260">
            <v>4600</v>
          </cell>
          <cell r="F1260">
            <v>30100</v>
          </cell>
          <cell r="G1260">
            <v>9000</v>
          </cell>
          <cell r="H1260">
            <v>3200</v>
          </cell>
          <cell r="I1260">
            <v>8900000</v>
          </cell>
          <cell r="J1260">
            <v>760000</v>
          </cell>
        </row>
        <row r="1261">
          <cell r="A1261" t="str">
            <v>0560-03143-01</v>
          </cell>
          <cell r="B1261" t="str">
            <v>PRM, Intraframe Editing Mac</v>
          </cell>
          <cell r="C1261">
            <v>3000</v>
          </cell>
          <cell r="D1261">
            <v>2300</v>
          </cell>
          <cell r="E1261">
            <v>2700</v>
          </cell>
          <cell r="F1261">
            <v>18000</v>
          </cell>
          <cell r="G1261">
            <v>5400</v>
          </cell>
          <cell r="H1261">
            <v>1900</v>
          </cell>
          <cell r="I1261">
            <v>5300000</v>
          </cell>
          <cell r="J1261">
            <v>460000</v>
          </cell>
        </row>
        <row r="1262">
          <cell r="A1262" t="str">
            <v>0560-03144-01</v>
          </cell>
          <cell r="B1262" t="str">
            <v>PRM, FX Package Mac</v>
          </cell>
          <cell r="C1262">
            <v>12500</v>
          </cell>
          <cell r="D1262">
            <v>9400</v>
          </cell>
          <cell r="E1262">
            <v>11500</v>
          </cell>
          <cell r="F1262">
            <v>75100</v>
          </cell>
          <cell r="G1262">
            <v>22400</v>
          </cell>
          <cell r="H1262">
            <v>7900</v>
          </cell>
          <cell r="I1262">
            <v>22200000</v>
          </cell>
          <cell r="J1262">
            <v>1910000</v>
          </cell>
        </row>
        <row r="1263">
          <cell r="A1263" t="str">
            <v>0560-03145-01</v>
          </cell>
          <cell r="B1263" t="str">
            <v>PRM, 1:1, One stream Option Mac</v>
          </cell>
          <cell r="C1263">
            <v>5000</v>
          </cell>
          <cell r="D1263">
            <v>3800</v>
          </cell>
          <cell r="E1263">
            <v>4600</v>
          </cell>
          <cell r="F1263">
            <v>30100</v>
          </cell>
          <cell r="G1263">
            <v>9000</v>
          </cell>
          <cell r="H1263">
            <v>3200</v>
          </cell>
          <cell r="I1263">
            <v>8900000</v>
          </cell>
          <cell r="J1263">
            <v>760000</v>
          </cell>
        </row>
        <row r="1264">
          <cell r="A1264" t="str">
            <v>0840-03003-01</v>
          </cell>
          <cell r="B1264" t="str">
            <v>MediaDock LVD Additional Power Supply</v>
          </cell>
          <cell r="C1264">
            <v>525</v>
          </cell>
          <cell r="D1264">
            <v>400</v>
          </cell>
          <cell r="E1264">
            <v>500</v>
          </cell>
          <cell r="F1264">
            <v>3200</v>
          </cell>
          <cell r="G1264">
            <v>900</v>
          </cell>
          <cell r="H1264">
            <v>300</v>
          </cell>
          <cell r="I1264">
            <v>900000</v>
          </cell>
          <cell r="J1264">
            <v>80000</v>
          </cell>
        </row>
        <row r="1265">
          <cell r="A1265" t="str">
            <v>0560-03052-01</v>
          </cell>
          <cell r="B1265" t="str">
            <v>NC Mac To NC Effects Upgrade - Rack</v>
          </cell>
          <cell r="C1265">
            <v>28500</v>
          </cell>
          <cell r="D1265">
            <v>21400</v>
          </cell>
          <cell r="E1265">
            <v>26100</v>
          </cell>
          <cell r="F1265">
            <v>171300</v>
          </cell>
          <cell r="G1265">
            <v>51100</v>
          </cell>
          <cell r="H1265">
            <v>18100</v>
          </cell>
          <cell r="I1265">
            <v>50600000</v>
          </cell>
          <cell r="J1265">
            <v>4340000</v>
          </cell>
        </row>
        <row r="1266">
          <cell r="A1266" t="str">
            <v>0510-03137-01</v>
          </cell>
          <cell r="B1266" t="str">
            <v>UPG,G3/Extender, PCI Bd set, Amadeus, Mandrill, Comp Top</v>
          </cell>
          <cell r="D1266">
            <v>0</v>
          </cell>
          <cell r="E1266">
            <v>0</v>
          </cell>
          <cell r="F1266">
            <v>0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</row>
        <row r="1267">
          <cell r="A1267" t="str">
            <v>0510-03138-01</v>
          </cell>
          <cell r="B1267" t="str">
            <v>UPG,G3/Extender, PCI Bd set, Amadeus, Mandrill, SDI Top</v>
          </cell>
          <cell r="D1267">
            <v>0</v>
          </cell>
          <cell r="E1267">
            <v>0</v>
          </cell>
          <cell r="F1267">
            <v>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</row>
        <row r="1268">
          <cell r="A1268" t="str">
            <v>0510-03139-01</v>
          </cell>
          <cell r="B1268" t="str">
            <v>UPG,G3/Extender, PCI Bd set, Amadeus, No FX, Comp Top</v>
          </cell>
          <cell r="D1268">
            <v>0</v>
          </cell>
          <cell r="E1268">
            <v>0</v>
          </cell>
          <cell r="F1268">
            <v>0</v>
          </cell>
          <cell r="G1268">
            <v>0</v>
          </cell>
          <cell r="H1268">
            <v>0</v>
          </cell>
          <cell r="I1268">
            <v>0</v>
          </cell>
          <cell r="J1268">
            <v>0</v>
          </cell>
        </row>
        <row r="1269">
          <cell r="A1269" t="str">
            <v>0510-03140-01</v>
          </cell>
          <cell r="B1269" t="str">
            <v>UPG,G3/Extender, PCI Bd set  Amadeus, No FX, SDI Top</v>
          </cell>
          <cell r="D1269">
            <v>0</v>
          </cell>
          <cell r="E1269">
            <v>0</v>
          </cell>
          <cell r="F1269">
            <v>0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</row>
        <row r="1270">
          <cell r="A1270" t="str">
            <v>0510-03141-01</v>
          </cell>
          <cell r="B1270" t="str">
            <v>UPG,G3/Extender, PCI Bd set Amadeus, Python, Comp Top</v>
          </cell>
          <cell r="D1270">
            <v>0</v>
          </cell>
          <cell r="E1270">
            <v>0</v>
          </cell>
          <cell r="F1270">
            <v>0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</row>
        <row r="1271">
          <cell r="A1271" t="str">
            <v>0510-03142-01</v>
          </cell>
          <cell r="B1271" t="str">
            <v>UPG,G3/Extender, PCI Bd set  Amadeus, Python, SDI</v>
          </cell>
          <cell r="D1271">
            <v>0</v>
          </cell>
          <cell r="E1271">
            <v>0</v>
          </cell>
          <cell r="F1271">
            <v>0</v>
          </cell>
          <cell r="G1271">
            <v>0</v>
          </cell>
          <cell r="H1271">
            <v>0</v>
          </cell>
          <cell r="I1271">
            <v>0</v>
          </cell>
          <cell r="J1271">
            <v>0</v>
          </cell>
        </row>
        <row r="1272">
          <cell r="A1272" t="str">
            <v>0510-03143-01</v>
          </cell>
          <cell r="B1272" t="str">
            <v>UPG,G3/Extender, PCI Bd set  AM3, Mandrill, Comp Top</v>
          </cell>
          <cell r="D1272">
            <v>0</v>
          </cell>
          <cell r="E1272">
            <v>0</v>
          </cell>
          <cell r="F1272">
            <v>0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</row>
        <row r="1273">
          <cell r="A1273" t="str">
            <v>0510-03144-01</v>
          </cell>
          <cell r="B1273" t="str">
            <v>UPG,G3/Extender, PCI Bd set  AM3, Mandrill, SDI Top</v>
          </cell>
          <cell r="D1273">
            <v>0</v>
          </cell>
          <cell r="E1273">
            <v>0</v>
          </cell>
          <cell r="F1273">
            <v>0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</row>
        <row r="1274">
          <cell r="A1274" t="str">
            <v>0510-03145-01</v>
          </cell>
          <cell r="B1274" t="str">
            <v>UPG,G3/Extender, PCI Bd set  AM3, No FX, Comp Top</v>
          </cell>
          <cell r="D1274">
            <v>0</v>
          </cell>
          <cell r="E1274">
            <v>0</v>
          </cell>
          <cell r="F1274">
            <v>0</v>
          </cell>
          <cell r="G1274">
            <v>0</v>
          </cell>
          <cell r="H1274">
            <v>0</v>
          </cell>
          <cell r="I1274">
            <v>0</v>
          </cell>
          <cell r="J1274">
            <v>0</v>
          </cell>
        </row>
        <row r="1275">
          <cell r="A1275" t="str">
            <v>0510-03146-01</v>
          </cell>
          <cell r="B1275" t="str">
            <v>UPG,G3/Extender, PCI Bd set  AM3, No FX, SDI Top</v>
          </cell>
          <cell r="D1275">
            <v>0</v>
          </cell>
          <cell r="E1275">
            <v>0</v>
          </cell>
          <cell r="F1275">
            <v>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</row>
        <row r="1276">
          <cell r="A1276" t="str">
            <v>0510-03147-01</v>
          </cell>
          <cell r="B1276" t="str">
            <v>UPG,G3/Extender, PCI Bd set  AM3, Python, Comp Top</v>
          </cell>
          <cell r="D1276">
            <v>0</v>
          </cell>
          <cell r="E1276">
            <v>0</v>
          </cell>
          <cell r="F1276">
            <v>0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</row>
        <row r="1277">
          <cell r="A1277" t="str">
            <v>0510-03148-01</v>
          </cell>
          <cell r="B1277" t="str">
            <v>UPG,G3/Extender, PCI Bd set  AM3, Python, SDI Top</v>
          </cell>
          <cell r="D1277">
            <v>0</v>
          </cell>
          <cell r="E1277">
            <v>0</v>
          </cell>
          <cell r="F1277">
            <v>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</row>
        <row r="1278">
          <cell r="A1278" t="str">
            <v>0010-00850-01</v>
          </cell>
          <cell r="B1278" t="str">
            <v>MediaLog mac 7.1</v>
          </cell>
          <cell r="C1278">
            <v>250</v>
          </cell>
          <cell r="D1278">
            <v>200</v>
          </cell>
          <cell r="E1278">
            <v>200</v>
          </cell>
          <cell r="F1278">
            <v>1500</v>
          </cell>
          <cell r="G1278">
            <v>400</v>
          </cell>
          <cell r="H1278">
            <v>200</v>
          </cell>
          <cell r="I1278">
            <v>400000</v>
          </cell>
          <cell r="J1278">
            <v>40000</v>
          </cell>
        </row>
        <row r="1279">
          <cell r="A1279" t="str">
            <v>0505-03028-01</v>
          </cell>
          <cell r="B1279" t="str">
            <v>Kit, Q3'99 Puffin Reseller Demo Windows NT</v>
          </cell>
          <cell r="C1279">
            <v>50</v>
          </cell>
          <cell r="D1279">
            <v>0</v>
          </cell>
          <cell r="E1279">
            <v>0</v>
          </cell>
          <cell r="F1279">
            <v>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</row>
        <row r="1280">
          <cell r="A1280" t="str">
            <v>0505-03029-01</v>
          </cell>
          <cell r="B1280" t="str">
            <v>Kit, Q3'99 Puffin Reseller Demo Macintosh</v>
          </cell>
          <cell r="C1280">
            <v>50</v>
          </cell>
          <cell r="D1280">
            <v>0</v>
          </cell>
          <cell r="E1280">
            <v>0</v>
          </cell>
          <cell r="F1280">
            <v>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</row>
        <row r="1281">
          <cell r="A1281" t="str">
            <v>0560-03148-01</v>
          </cell>
          <cell r="B1281" t="str">
            <v xml:space="preserve">Q3  '99 MSFC Upgrade to MediaNet </v>
          </cell>
          <cell r="C1281">
            <v>26995</v>
          </cell>
          <cell r="D1281">
            <v>20200</v>
          </cell>
          <cell r="E1281">
            <v>24700</v>
          </cell>
          <cell r="F1281">
            <v>162200</v>
          </cell>
          <cell r="G1281">
            <v>48400</v>
          </cell>
          <cell r="H1281">
            <v>17100</v>
          </cell>
          <cell r="I1281">
            <v>47900000</v>
          </cell>
          <cell r="J1281">
            <v>4120000</v>
          </cell>
        </row>
        <row r="1282">
          <cell r="A1282" t="str">
            <v>0500-03077-21</v>
          </cell>
          <cell r="B1282" t="str">
            <v>PRD, System ID MCNT 9000 XL</v>
          </cell>
          <cell r="C1282">
            <v>105000</v>
          </cell>
          <cell r="D1282">
            <v>78800</v>
          </cell>
          <cell r="E1282">
            <v>96200</v>
          </cell>
          <cell r="F1282">
            <v>631100</v>
          </cell>
          <cell r="G1282">
            <v>188200</v>
          </cell>
          <cell r="H1282">
            <v>66500</v>
          </cell>
          <cell r="I1282">
            <v>186300000</v>
          </cell>
          <cell r="J1282">
            <v>16010000</v>
          </cell>
        </row>
        <row r="1283">
          <cell r="A1283" t="str">
            <v>0500-03078-21</v>
          </cell>
          <cell r="B1283" t="str">
            <v>PRD, System ID Film Composer XL NT</v>
          </cell>
          <cell r="C1283">
            <v>75000</v>
          </cell>
          <cell r="D1283">
            <v>56300</v>
          </cell>
          <cell r="E1283">
            <v>68700</v>
          </cell>
          <cell r="F1283">
            <v>450800</v>
          </cell>
          <cell r="G1283">
            <v>134400</v>
          </cell>
          <cell r="H1283">
            <v>47500</v>
          </cell>
          <cell r="I1283">
            <v>133100000</v>
          </cell>
          <cell r="J1283">
            <v>11430000</v>
          </cell>
        </row>
        <row r="1284">
          <cell r="A1284" t="str">
            <v>0890-03024-01</v>
          </cell>
          <cell r="B1284" t="str">
            <v>Shelf for Standard Rack</v>
          </cell>
          <cell r="D1284">
            <v>0</v>
          </cell>
          <cell r="E1284">
            <v>0</v>
          </cell>
          <cell r="F1284">
            <v>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</row>
        <row r="1285">
          <cell r="A1285" t="str">
            <v>0010-03553-01</v>
          </cell>
          <cell r="B1285" t="str">
            <v>KIT, DS RCKMNT w/180GB 2 Mon PAL</v>
          </cell>
          <cell r="D1285">
            <v>0</v>
          </cell>
          <cell r="E1285">
            <v>0</v>
          </cell>
          <cell r="F1285">
            <v>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</row>
        <row r="1286">
          <cell r="A1286" t="str">
            <v>0505-03030-01</v>
          </cell>
          <cell r="B1286" t="str">
            <v>Kit, MC9000XL NT Demo to 9000XLConvert - Doc &amp; Updater</v>
          </cell>
          <cell r="C1286">
            <v>0</v>
          </cell>
          <cell r="D1286">
            <v>0</v>
          </cell>
          <cell r="E1286">
            <v>0</v>
          </cell>
          <cell r="F1286">
            <v>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</row>
        <row r="1287">
          <cell r="A1287" t="str">
            <v>0505-03022-01</v>
          </cell>
          <cell r="B1287" t="str">
            <v>Kit, MC1000XL Mac Demo to 1000XL Convert - Doc &amp; Updater</v>
          </cell>
          <cell r="C1287">
            <v>0</v>
          </cell>
          <cell r="D1287">
            <v>0</v>
          </cell>
          <cell r="E1287">
            <v>0</v>
          </cell>
          <cell r="F1287">
            <v>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</row>
        <row r="1288">
          <cell r="A1288" t="str">
            <v>0505-03024-01</v>
          </cell>
          <cell r="B1288" t="str">
            <v>Kit, MC1000XL NT Demo to 1000XL Convert - Doc &amp; Updater</v>
          </cell>
          <cell r="C1288">
            <v>0</v>
          </cell>
          <cell r="D1288">
            <v>0</v>
          </cell>
          <cell r="E1288">
            <v>0</v>
          </cell>
          <cell r="F1288">
            <v>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</row>
        <row r="1289">
          <cell r="A1289" t="str">
            <v>0505-00004-01</v>
          </cell>
          <cell r="B1289" t="str">
            <v>Kit, MC9000 ABVB Demo to 9000 Convert - Doc &amp; Updater</v>
          </cell>
          <cell r="C1289">
            <v>0</v>
          </cell>
          <cell r="D1289">
            <v>0</v>
          </cell>
          <cell r="E1289">
            <v>0</v>
          </cell>
          <cell r="F1289">
            <v>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</row>
        <row r="1290">
          <cell r="A1290" t="str">
            <v>0505-03031-01</v>
          </cell>
          <cell r="B1290" t="str">
            <v>Kit, Sym Demo Universal to v2  Convert -Doc &amp; Updater</v>
          </cell>
          <cell r="C1290">
            <v>0</v>
          </cell>
          <cell r="D1290">
            <v>0</v>
          </cell>
          <cell r="E1290">
            <v>0</v>
          </cell>
          <cell r="F1290">
            <v>0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</row>
        <row r="1291">
          <cell r="A1291" t="str">
            <v>0505-03032-01</v>
          </cell>
          <cell r="B1291" t="str">
            <v>Kit, Sym Demo Universal  to Sym Universal Convert -Doc &amp; Updater</v>
          </cell>
          <cell r="C1291">
            <v>0</v>
          </cell>
          <cell r="D1291">
            <v>0</v>
          </cell>
          <cell r="E1291">
            <v>0</v>
          </cell>
          <cell r="F1291">
            <v>0</v>
          </cell>
          <cell r="G1291">
            <v>0</v>
          </cell>
          <cell r="H1291">
            <v>0</v>
          </cell>
          <cell r="I1291">
            <v>0</v>
          </cell>
          <cell r="J1291">
            <v>0</v>
          </cell>
        </row>
        <row r="1292">
          <cell r="A1292" t="str">
            <v>0505-03026-01</v>
          </cell>
          <cell r="B1292" t="str">
            <v>Prd, Xpess NT Demo Convert to Xpress Elite</v>
          </cell>
          <cell r="C1292">
            <v>0</v>
          </cell>
          <cell r="D1292">
            <v>0</v>
          </cell>
          <cell r="E1292">
            <v>0</v>
          </cell>
          <cell r="F1292">
            <v>0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</row>
        <row r="1293">
          <cell r="A1293" t="str">
            <v>0505-03027-01</v>
          </cell>
          <cell r="B1293" t="str">
            <v>Prd, Xpess Mac ABVB Demo Convert to Xpress Elite</v>
          </cell>
          <cell r="C1293">
            <v>0</v>
          </cell>
          <cell r="D1293">
            <v>0</v>
          </cell>
          <cell r="E1293">
            <v>0</v>
          </cell>
          <cell r="F1293">
            <v>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</row>
        <row r="1294">
          <cell r="A1294" t="str">
            <v>0500-03053-21</v>
          </cell>
          <cell r="B1294" t="str">
            <v>Kit, Symphony 2.0 System w/CPU &amp; FC Adaptor</v>
          </cell>
          <cell r="C1294">
            <v>135000</v>
          </cell>
          <cell r="D1294">
            <v>101300</v>
          </cell>
          <cell r="E1294">
            <v>123700</v>
          </cell>
          <cell r="F1294">
            <v>811400</v>
          </cell>
          <cell r="G1294">
            <v>241900</v>
          </cell>
          <cell r="H1294">
            <v>85600</v>
          </cell>
          <cell r="I1294">
            <v>239500000</v>
          </cell>
          <cell r="J1294">
            <v>20580000</v>
          </cell>
        </row>
        <row r="1295">
          <cell r="A1295" t="str">
            <v>0010-03514-01</v>
          </cell>
          <cell r="B1295" t="str">
            <v>SUB SYM 2.0 LVD Engine Choice</v>
          </cell>
          <cell r="C1295">
            <v>135000</v>
          </cell>
          <cell r="D1295">
            <v>97700</v>
          </cell>
          <cell r="E1295">
            <v>119400</v>
          </cell>
          <cell r="F1295">
            <v>783100</v>
          </cell>
          <cell r="G1295">
            <v>233500</v>
          </cell>
          <cell r="H1295">
            <v>82600</v>
          </cell>
          <cell r="I1295">
            <v>231200000</v>
          </cell>
          <cell r="J1295">
            <v>19860000</v>
          </cell>
        </row>
        <row r="1296">
          <cell r="A1296" t="str">
            <v>0500-03054-21</v>
          </cell>
          <cell r="B1296" t="str">
            <v>Kit, Symphony Univ System w/CPU &amp; FC Adaptor</v>
          </cell>
          <cell r="C1296">
            <v>160000</v>
          </cell>
          <cell r="D1296">
            <v>120000</v>
          </cell>
          <cell r="E1296">
            <v>146600</v>
          </cell>
          <cell r="F1296">
            <v>961600</v>
          </cell>
          <cell r="G1296">
            <v>286700</v>
          </cell>
          <cell r="H1296">
            <v>101400</v>
          </cell>
          <cell r="I1296">
            <v>283900000</v>
          </cell>
          <cell r="J1296">
            <v>24390000</v>
          </cell>
        </row>
        <row r="1297">
          <cell r="A1297" t="str">
            <v>0010-03516-01</v>
          </cell>
          <cell r="B1297" t="str">
            <v>SUB SYM Univ LVD Engine Choice</v>
          </cell>
          <cell r="C1297">
            <v>160000</v>
          </cell>
          <cell r="D1297">
            <v>116500</v>
          </cell>
          <cell r="E1297">
            <v>142300</v>
          </cell>
          <cell r="F1297">
            <v>933400</v>
          </cell>
          <cell r="G1297">
            <v>278300</v>
          </cell>
          <cell r="H1297">
            <v>98400</v>
          </cell>
          <cell r="I1297">
            <v>275500000</v>
          </cell>
          <cell r="J1297">
            <v>23680000</v>
          </cell>
        </row>
        <row r="1298">
          <cell r="B1298" t="str">
            <v>MNT,Assurance On-Site MediaNet 7*24</v>
          </cell>
          <cell r="C1298">
            <v>6718</v>
          </cell>
          <cell r="D1298">
            <v>5000</v>
          </cell>
          <cell r="E1298">
            <v>6200</v>
          </cell>
          <cell r="F1298">
            <v>40400</v>
          </cell>
          <cell r="G1298">
            <v>12000</v>
          </cell>
          <cell r="H1298">
            <v>4300</v>
          </cell>
          <cell r="I1298">
            <v>11900000</v>
          </cell>
          <cell r="J1298">
            <v>1020000</v>
          </cell>
        </row>
        <row r="1299">
          <cell r="B1299" t="str">
            <v>MNT,Assurance On-Site Plus MrdiaNet</v>
          </cell>
          <cell r="C1299">
            <v>9134</v>
          </cell>
          <cell r="D1299">
            <v>6900</v>
          </cell>
          <cell r="E1299">
            <v>8400</v>
          </cell>
          <cell r="F1299">
            <v>54900</v>
          </cell>
          <cell r="G1299">
            <v>16400</v>
          </cell>
          <cell r="H1299">
            <v>5800</v>
          </cell>
          <cell r="I1299">
            <v>16200000</v>
          </cell>
          <cell r="J1299">
            <v>1390000</v>
          </cell>
        </row>
        <row r="1300">
          <cell r="B1300" t="str">
            <v>MNT,Assurance On-Site Plus MediaNet, 7*24</v>
          </cell>
          <cell r="C1300">
            <v>9868</v>
          </cell>
          <cell r="D1300">
            <v>7400</v>
          </cell>
          <cell r="E1300">
            <v>9000</v>
          </cell>
          <cell r="F1300">
            <v>59300</v>
          </cell>
          <cell r="G1300">
            <v>17700</v>
          </cell>
          <cell r="H1300">
            <v>6300</v>
          </cell>
          <cell r="I1300">
            <v>17500000</v>
          </cell>
          <cell r="J1300">
            <v>1500000</v>
          </cell>
        </row>
        <row r="1301">
          <cell r="B1301" t="str">
            <v>MNT,Assurance On-Site MediaNet</v>
          </cell>
          <cell r="C1301">
            <v>5984</v>
          </cell>
          <cell r="D1301">
            <v>4500</v>
          </cell>
          <cell r="E1301">
            <v>5500</v>
          </cell>
          <cell r="F1301">
            <v>36000</v>
          </cell>
          <cell r="G1301">
            <v>10700</v>
          </cell>
          <cell r="H1301">
            <v>3800</v>
          </cell>
          <cell r="I1301">
            <v>10600000</v>
          </cell>
          <cell r="J1301">
            <v>910000</v>
          </cell>
        </row>
        <row r="1302">
          <cell r="A1302" t="str">
            <v>0540-00758-01</v>
          </cell>
          <cell r="B1302" t="str">
            <v>MNT, SI Toonz Full Win NT</v>
          </cell>
          <cell r="C1302">
            <v>1950</v>
          </cell>
          <cell r="D1302">
            <v>1500</v>
          </cell>
          <cell r="E1302">
            <v>1800</v>
          </cell>
          <cell r="F1302">
            <v>11700</v>
          </cell>
          <cell r="G1302">
            <v>3500</v>
          </cell>
          <cell r="H1302">
            <v>1200</v>
          </cell>
          <cell r="I1302">
            <v>3500000</v>
          </cell>
          <cell r="J1302">
            <v>300000</v>
          </cell>
        </row>
        <row r="1303">
          <cell r="A1303" t="str">
            <v>0540-00765-01</v>
          </cell>
          <cell r="B1303" t="str">
            <v>MNT, SI Toonz Full Irix</v>
          </cell>
          <cell r="C1303">
            <v>1950</v>
          </cell>
          <cell r="D1303">
            <v>1500</v>
          </cell>
          <cell r="E1303">
            <v>1800</v>
          </cell>
          <cell r="F1303">
            <v>11700</v>
          </cell>
          <cell r="G1303">
            <v>3500</v>
          </cell>
          <cell r="H1303">
            <v>1200</v>
          </cell>
          <cell r="I1303">
            <v>3500000</v>
          </cell>
          <cell r="J1303">
            <v>300000</v>
          </cell>
        </row>
        <row r="1304">
          <cell r="A1304" t="str">
            <v>0540-00760-01</v>
          </cell>
          <cell r="B1304" t="str">
            <v>MNT, SI Toonz Ink &amp; Paint Win NT</v>
          </cell>
          <cell r="C1304">
            <v>900</v>
          </cell>
          <cell r="D1304">
            <v>700</v>
          </cell>
          <cell r="E1304">
            <v>800</v>
          </cell>
          <cell r="F1304">
            <v>5400</v>
          </cell>
          <cell r="G1304">
            <v>1600</v>
          </cell>
          <cell r="H1304">
            <v>600</v>
          </cell>
          <cell r="I1304">
            <v>1600000</v>
          </cell>
          <cell r="J1304">
            <v>140000</v>
          </cell>
        </row>
        <row r="1305">
          <cell r="A1305" t="str">
            <v>0540-00767-01</v>
          </cell>
          <cell r="B1305" t="str">
            <v>MNT, SI Toonz Ink &amp; Paint Box</v>
          </cell>
          <cell r="C1305">
            <v>900</v>
          </cell>
          <cell r="D1305">
            <v>700</v>
          </cell>
          <cell r="E1305">
            <v>800</v>
          </cell>
          <cell r="F1305">
            <v>5400</v>
          </cell>
          <cell r="G1305">
            <v>1600</v>
          </cell>
          <cell r="H1305">
            <v>600</v>
          </cell>
          <cell r="I1305">
            <v>1600000</v>
          </cell>
          <cell r="J1305">
            <v>140000</v>
          </cell>
        </row>
        <row r="1306">
          <cell r="A1306" t="str">
            <v>0540-00761-01</v>
          </cell>
          <cell r="B1306" t="str">
            <v>MNT, SI Toonz Render &amp;  Animate Win NT</v>
          </cell>
          <cell r="C1306">
            <v>1095</v>
          </cell>
          <cell r="D1306">
            <v>800</v>
          </cell>
          <cell r="E1306">
            <v>1000</v>
          </cell>
          <cell r="F1306">
            <v>6600</v>
          </cell>
          <cell r="G1306">
            <v>2000</v>
          </cell>
          <cell r="H1306">
            <v>700</v>
          </cell>
          <cell r="I1306">
            <v>1900000</v>
          </cell>
          <cell r="J1306">
            <v>170000</v>
          </cell>
        </row>
        <row r="1307">
          <cell r="A1307" t="str">
            <v>0540-00768-01</v>
          </cell>
          <cell r="B1307" t="str">
            <v>MNT, SAI Toonz Render &amp; Animate Irix</v>
          </cell>
          <cell r="C1307">
            <v>1095</v>
          </cell>
          <cell r="D1307">
            <v>800</v>
          </cell>
          <cell r="E1307">
            <v>1000</v>
          </cell>
          <cell r="F1307">
            <v>6600</v>
          </cell>
          <cell r="G1307">
            <v>2000</v>
          </cell>
          <cell r="H1307">
            <v>700</v>
          </cell>
          <cell r="I1307">
            <v>1900000</v>
          </cell>
          <cell r="J1307">
            <v>170000</v>
          </cell>
        </row>
        <row r="1308">
          <cell r="A1308" t="str">
            <v>0540-00805-01</v>
          </cell>
          <cell r="B1308" t="str">
            <v>MNT, SI Toonz Render Only Win NT</v>
          </cell>
          <cell r="C1308">
            <v>525</v>
          </cell>
          <cell r="D1308">
            <v>400</v>
          </cell>
          <cell r="E1308">
            <v>500</v>
          </cell>
          <cell r="F1308">
            <v>3200</v>
          </cell>
          <cell r="G1308">
            <v>900</v>
          </cell>
          <cell r="H1308">
            <v>300</v>
          </cell>
          <cell r="I1308">
            <v>900000</v>
          </cell>
          <cell r="J1308">
            <v>80000</v>
          </cell>
        </row>
        <row r="1309">
          <cell r="A1309" t="str">
            <v>0540-00769-01</v>
          </cell>
          <cell r="B1309" t="str">
            <v>MNT, SI Tonz Render Only Irix</v>
          </cell>
          <cell r="C1309">
            <v>525</v>
          </cell>
          <cell r="D1309">
            <v>400</v>
          </cell>
          <cell r="E1309">
            <v>500</v>
          </cell>
          <cell r="F1309">
            <v>3200</v>
          </cell>
          <cell r="G1309">
            <v>900</v>
          </cell>
          <cell r="H1309">
            <v>300</v>
          </cell>
          <cell r="I1309">
            <v>900000</v>
          </cell>
          <cell r="J1309">
            <v>80000</v>
          </cell>
        </row>
        <row r="1310">
          <cell r="A1310" t="str">
            <v>0010-03201-01</v>
          </cell>
          <cell r="B1310" t="str">
            <v>KIT,UNIVERSAL OFFLINE EDITING NT</v>
          </cell>
          <cell r="C1310">
            <v>20000</v>
          </cell>
          <cell r="D1310">
            <v>15000</v>
          </cell>
          <cell r="E1310">
            <v>18300</v>
          </cell>
          <cell r="F1310">
            <v>120200</v>
          </cell>
          <cell r="G1310">
            <v>35800</v>
          </cell>
          <cell r="H1310">
            <v>12700</v>
          </cell>
          <cell r="I1310">
            <v>35500000</v>
          </cell>
          <cell r="J1310">
            <v>3050000</v>
          </cell>
        </row>
        <row r="1311">
          <cell r="A1311" t="str">
            <v>0010-03669-01</v>
          </cell>
          <cell r="B1311" t="str">
            <v>KIT,UNIVERSAL OFFLINE EDITING W/HDW</v>
          </cell>
          <cell r="C1311">
            <v>20000</v>
          </cell>
          <cell r="D1311">
            <v>15000</v>
          </cell>
          <cell r="E1311">
            <v>18300</v>
          </cell>
          <cell r="F1311">
            <v>120200</v>
          </cell>
          <cell r="G1311">
            <v>35800</v>
          </cell>
          <cell r="H1311">
            <v>12700</v>
          </cell>
          <cell r="I1311">
            <v>35500000</v>
          </cell>
          <cell r="J1311">
            <v>3050000</v>
          </cell>
        </row>
        <row r="1312">
          <cell r="A1312" t="str">
            <v>0510-03151-01</v>
          </cell>
          <cell r="B1312" t="str">
            <v>UPG,MC1000XL NT M1-MC9000XL NT M2</v>
          </cell>
          <cell r="C1312">
            <v>45000</v>
          </cell>
          <cell r="D1312">
            <v>33800</v>
          </cell>
          <cell r="E1312">
            <v>41200</v>
          </cell>
          <cell r="F1312">
            <v>270500</v>
          </cell>
          <cell r="G1312">
            <v>80600</v>
          </cell>
          <cell r="H1312">
            <v>28500</v>
          </cell>
          <cell r="I1312">
            <v>79800000</v>
          </cell>
          <cell r="J1312">
            <v>6860000</v>
          </cell>
        </row>
        <row r="1313">
          <cell r="A1313" t="str">
            <v>0510-03152-01</v>
          </cell>
          <cell r="B1313" t="str">
            <v>UPG,MC1000XL NT M1, 1:1-MC9000XL NT M2</v>
          </cell>
          <cell r="C1313">
            <v>30000</v>
          </cell>
          <cell r="D1313">
            <v>22500</v>
          </cell>
          <cell r="E1313">
            <v>27500</v>
          </cell>
          <cell r="F1313">
            <v>180300</v>
          </cell>
          <cell r="G1313">
            <v>53800</v>
          </cell>
          <cell r="H1313">
            <v>19000</v>
          </cell>
          <cell r="I1313">
            <v>53200000</v>
          </cell>
          <cell r="J1313">
            <v>4570000</v>
          </cell>
        </row>
        <row r="1314">
          <cell r="A1314" t="str">
            <v>0510-03153-01</v>
          </cell>
          <cell r="B1314" t="str">
            <v>UPG,MC1000XL NT M1, 2x1:1-MC9000XL NT M2</v>
          </cell>
          <cell r="C1314">
            <v>25000</v>
          </cell>
          <cell r="D1314">
            <v>18800</v>
          </cell>
          <cell r="E1314">
            <v>22900</v>
          </cell>
          <cell r="F1314">
            <v>150300</v>
          </cell>
          <cell r="G1314">
            <v>44800</v>
          </cell>
          <cell r="H1314">
            <v>15800</v>
          </cell>
          <cell r="I1314">
            <v>44400000</v>
          </cell>
          <cell r="J1314">
            <v>3810000</v>
          </cell>
        </row>
        <row r="1315">
          <cell r="A1315" t="str">
            <v>0510-03154-01</v>
          </cell>
          <cell r="B1315" t="str">
            <v>UPG,MC1000XL NT M1, FX-MC9000XL NT M2</v>
          </cell>
          <cell r="C1315">
            <v>27500</v>
          </cell>
          <cell r="D1315">
            <v>20600</v>
          </cell>
          <cell r="E1315">
            <v>25200</v>
          </cell>
          <cell r="F1315">
            <v>165300</v>
          </cell>
          <cell r="G1315">
            <v>49300</v>
          </cell>
          <cell r="H1315">
            <v>17400</v>
          </cell>
          <cell r="I1315">
            <v>48800000</v>
          </cell>
          <cell r="J1315">
            <v>4190000</v>
          </cell>
        </row>
        <row r="1316">
          <cell r="A1316" t="str">
            <v>0510-03155-01</v>
          </cell>
          <cell r="B1316" t="str">
            <v>UPG,MC1000XL NT M1, 1:1,FX-MC9000XL NT M2</v>
          </cell>
          <cell r="C1316">
            <v>12500</v>
          </cell>
          <cell r="D1316">
            <v>9400</v>
          </cell>
          <cell r="E1316">
            <v>11500</v>
          </cell>
          <cell r="F1316">
            <v>75100</v>
          </cell>
          <cell r="G1316">
            <v>22400</v>
          </cell>
          <cell r="H1316">
            <v>7900</v>
          </cell>
          <cell r="I1316">
            <v>22200000</v>
          </cell>
          <cell r="J1316">
            <v>1910000</v>
          </cell>
        </row>
        <row r="1317">
          <cell r="A1317" t="str">
            <v>0510-03156-01</v>
          </cell>
          <cell r="B1317" t="str">
            <v>UPG,MC1000XL NT M1, 2x1:1,FX-MC9000XL NT M2</v>
          </cell>
          <cell r="C1317">
            <v>7500</v>
          </cell>
          <cell r="D1317">
            <v>5600</v>
          </cell>
          <cell r="E1317">
            <v>6900</v>
          </cell>
          <cell r="F1317">
            <v>45100</v>
          </cell>
          <cell r="G1317">
            <v>13400</v>
          </cell>
          <cell r="H1317">
            <v>4800</v>
          </cell>
          <cell r="I1317">
            <v>13300000</v>
          </cell>
          <cell r="J1317">
            <v>1140000</v>
          </cell>
        </row>
        <row r="1318">
          <cell r="A1318" t="str">
            <v>0510-03157-01</v>
          </cell>
          <cell r="B1318" t="str">
            <v>UPG,MC OFFLINE XL NT M1 - MC1000XL NT M2</v>
          </cell>
          <cell r="C1318">
            <v>24000</v>
          </cell>
          <cell r="D1318">
            <v>18000</v>
          </cell>
          <cell r="E1318">
            <v>22000</v>
          </cell>
          <cell r="F1318">
            <v>144200</v>
          </cell>
          <cell r="G1318">
            <v>43000</v>
          </cell>
          <cell r="H1318">
            <v>15200</v>
          </cell>
          <cell r="I1318">
            <v>42600000</v>
          </cell>
          <cell r="J1318">
            <v>3660000</v>
          </cell>
        </row>
        <row r="1319">
          <cell r="A1319" t="str">
            <v>0560-03105-01</v>
          </cell>
          <cell r="B1319" t="str">
            <v>PRM,MC9000 TO MC9000XL NT W/CPU &amp; FC</v>
          </cell>
          <cell r="C1319">
            <v>29995</v>
          </cell>
          <cell r="D1319">
            <v>22500</v>
          </cell>
          <cell r="E1319">
            <v>27500</v>
          </cell>
          <cell r="F1319">
            <v>180300</v>
          </cell>
          <cell r="G1319">
            <v>53800</v>
          </cell>
          <cell r="H1319">
            <v>19000</v>
          </cell>
          <cell r="I1319">
            <v>53200000</v>
          </cell>
          <cell r="J1319">
            <v>4570000</v>
          </cell>
        </row>
        <row r="1320">
          <cell r="A1320" t="str">
            <v>0560-03105-02</v>
          </cell>
          <cell r="B1320" t="str">
            <v>PRM,MC9000 TO MC9000XL NT W/CPU &amp; LVD</v>
          </cell>
          <cell r="C1320">
            <v>29995</v>
          </cell>
          <cell r="D1320">
            <v>22500</v>
          </cell>
          <cell r="E1320">
            <v>27500</v>
          </cell>
          <cell r="F1320">
            <v>180300</v>
          </cell>
          <cell r="G1320">
            <v>53800</v>
          </cell>
          <cell r="H1320">
            <v>19000</v>
          </cell>
          <cell r="I1320">
            <v>53200000</v>
          </cell>
          <cell r="J1320">
            <v>4570000</v>
          </cell>
        </row>
        <row r="1321">
          <cell r="A1321" t="str">
            <v>0560-03103-01</v>
          </cell>
          <cell r="B1321" t="str">
            <v>PRM,MC80003D TO MC1000XL NT W/CPU &amp; FC</v>
          </cell>
          <cell r="C1321">
            <v>29995</v>
          </cell>
          <cell r="D1321">
            <v>22500</v>
          </cell>
          <cell r="E1321">
            <v>27500</v>
          </cell>
          <cell r="F1321">
            <v>180300</v>
          </cell>
          <cell r="G1321">
            <v>53800</v>
          </cell>
          <cell r="H1321">
            <v>19000</v>
          </cell>
          <cell r="I1321">
            <v>53200000</v>
          </cell>
          <cell r="J1321">
            <v>4570000</v>
          </cell>
        </row>
        <row r="1322">
          <cell r="A1322" t="str">
            <v>0560-03103-02</v>
          </cell>
          <cell r="B1322" t="str">
            <v>PRM,MC80003D TO MC1000XL NT W/CPU &amp; LVD</v>
          </cell>
          <cell r="C1322">
            <v>29995</v>
          </cell>
          <cell r="D1322">
            <v>22500</v>
          </cell>
          <cell r="E1322">
            <v>27500</v>
          </cell>
          <cell r="F1322">
            <v>180300</v>
          </cell>
          <cell r="G1322">
            <v>53800</v>
          </cell>
          <cell r="H1322">
            <v>19000</v>
          </cell>
          <cell r="I1322">
            <v>53200000</v>
          </cell>
          <cell r="J1322">
            <v>4570000</v>
          </cell>
        </row>
        <row r="1323">
          <cell r="A1323" t="str">
            <v>0010-03547-01</v>
          </cell>
          <cell r="B1323" t="str">
            <v>KIT, DS Deskside w/180GB 2 Mon PAL</v>
          </cell>
          <cell r="D1323">
            <v>0</v>
          </cell>
          <cell r="E1323">
            <v>0</v>
          </cell>
          <cell r="F1323">
            <v>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</row>
        <row r="1324">
          <cell r="A1324" t="str">
            <v>0560-03154-01</v>
          </cell>
          <cell r="B1324" t="str">
            <v>PRM,MC80003D-MC9000XL NT,W/CPU,FC</v>
          </cell>
          <cell r="C1324">
            <v>29995</v>
          </cell>
          <cell r="D1324">
            <v>22500</v>
          </cell>
          <cell r="E1324">
            <v>27500</v>
          </cell>
          <cell r="F1324">
            <v>180300</v>
          </cell>
          <cell r="G1324">
            <v>53800</v>
          </cell>
          <cell r="H1324">
            <v>19000</v>
          </cell>
          <cell r="I1324">
            <v>53200000</v>
          </cell>
          <cell r="J1324">
            <v>4570000</v>
          </cell>
        </row>
        <row r="1325">
          <cell r="A1325" t="str">
            <v>0560-03155-01</v>
          </cell>
          <cell r="B1325" t="str">
            <v>PRM,MC80003D-MC9000XL NT,W/CPU, LVD</v>
          </cell>
          <cell r="C1325">
            <v>29995</v>
          </cell>
          <cell r="D1325">
            <v>22500</v>
          </cell>
          <cell r="E1325">
            <v>27500</v>
          </cell>
          <cell r="F1325">
            <v>180300</v>
          </cell>
          <cell r="G1325">
            <v>53800</v>
          </cell>
          <cell r="H1325">
            <v>19000</v>
          </cell>
          <cell r="I1325">
            <v>53200000</v>
          </cell>
          <cell r="J1325">
            <v>4570000</v>
          </cell>
        </row>
        <row r="1326">
          <cell r="A1326" t="str">
            <v>0560-03101-01</v>
          </cell>
          <cell r="B1326" t="str">
            <v>PRM,MC80002D TO MC1000XL NT W/CPU &amp; FC</v>
          </cell>
          <cell r="C1326">
            <v>29995</v>
          </cell>
          <cell r="D1326">
            <v>22500</v>
          </cell>
          <cell r="E1326">
            <v>27500</v>
          </cell>
          <cell r="F1326">
            <v>180300</v>
          </cell>
          <cell r="G1326">
            <v>53800</v>
          </cell>
          <cell r="H1326">
            <v>19000</v>
          </cell>
          <cell r="I1326">
            <v>53200000</v>
          </cell>
          <cell r="J1326">
            <v>4570000</v>
          </cell>
        </row>
        <row r="1327">
          <cell r="A1327" t="str">
            <v>0560-03101-02</v>
          </cell>
          <cell r="B1327" t="str">
            <v>PRM,MC80002D TO MC1000XL NT W/CPU &amp; LVD</v>
          </cell>
          <cell r="C1327">
            <v>29995</v>
          </cell>
          <cell r="D1327">
            <v>22500</v>
          </cell>
          <cell r="E1327">
            <v>27500</v>
          </cell>
          <cell r="F1327">
            <v>180300</v>
          </cell>
          <cell r="G1327">
            <v>53800</v>
          </cell>
          <cell r="H1327">
            <v>19000</v>
          </cell>
          <cell r="I1327">
            <v>53200000</v>
          </cell>
          <cell r="J1327">
            <v>4570000</v>
          </cell>
        </row>
        <row r="1328">
          <cell r="A1328" t="str">
            <v>0560-03102-01</v>
          </cell>
          <cell r="B1328" t="str">
            <v>PRM,MC80002D TO MC9000XL NT W/CPU &amp; FC</v>
          </cell>
          <cell r="C1328">
            <v>29995</v>
          </cell>
          <cell r="D1328">
            <v>22500</v>
          </cell>
          <cell r="E1328">
            <v>27500</v>
          </cell>
          <cell r="F1328">
            <v>180300</v>
          </cell>
          <cell r="G1328">
            <v>53800</v>
          </cell>
          <cell r="H1328">
            <v>19000</v>
          </cell>
          <cell r="I1328">
            <v>53200000</v>
          </cell>
          <cell r="J1328">
            <v>4570000</v>
          </cell>
        </row>
        <row r="1329">
          <cell r="A1329" t="str">
            <v>0560-03102-02</v>
          </cell>
          <cell r="B1329" t="str">
            <v>PRM,MC80002D TO MC9000XL NT W/CPU &amp; LVD</v>
          </cell>
          <cell r="C1329">
            <v>29995</v>
          </cell>
          <cell r="D1329">
            <v>22500</v>
          </cell>
          <cell r="E1329">
            <v>27500</v>
          </cell>
          <cell r="F1329">
            <v>180300</v>
          </cell>
          <cell r="G1329">
            <v>53800</v>
          </cell>
          <cell r="H1329">
            <v>19000</v>
          </cell>
          <cell r="I1329">
            <v>53200000</v>
          </cell>
          <cell r="J1329">
            <v>4570000</v>
          </cell>
        </row>
        <row r="1330">
          <cell r="A1330" t="str">
            <v>0560-03156-01</v>
          </cell>
          <cell r="B1330" t="str">
            <v>PRM,MC40003D-MC1000XL NT,W/CPU,FC</v>
          </cell>
          <cell r="C1330">
            <v>29995</v>
          </cell>
          <cell r="D1330">
            <v>22500</v>
          </cell>
          <cell r="E1330">
            <v>27500</v>
          </cell>
          <cell r="F1330">
            <v>180300</v>
          </cell>
          <cell r="G1330">
            <v>53800</v>
          </cell>
          <cell r="H1330">
            <v>19000</v>
          </cell>
          <cell r="I1330">
            <v>53200000</v>
          </cell>
          <cell r="J1330">
            <v>4570000</v>
          </cell>
        </row>
        <row r="1331">
          <cell r="A1331" t="str">
            <v>0560-03171-01</v>
          </cell>
          <cell r="B1331" t="str">
            <v xml:space="preserve">PRM,MC40003D-MC1000XL NT,W/CPU,LVD </v>
          </cell>
          <cell r="C1331">
            <v>29995</v>
          </cell>
          <cell r="D1331">
            <v>22500</v>
          </cell>
          <cell r="E1331">
            <v>27500</v>
          </cell>
          <cell r="F1331">
            <v>180300</v>
          </cell>
          <cell r="G1331">
            <v>53800</v>
          </cell>
          <cell r="H1331">
            <v>19000</v>
          </cell>
          <cell r="I1331">
            <v>53200000</v>
          </cell>
          <cell r="J1331">
            <v>4570000</v>
          </cell>
        </row>
        <row r="1332">
          <cell r="A1332" t="str">
            <v>0560-03100-01</v>
          </cell>
          <cell r="B1332" t="str">
            <v>PRM,MC40003D W/FILM TO MC1000XL NT W/CPU &amp; FC</v>
          </cell>
          <cell r="C1332">
            <v>29995</v>
          </cell>
          <cell r="D1332">
            <v>22500</v>
          </cell>
          <cell r="E1332">
            <v>27500</v>
          </cell>
          <cell r="F1332">
            <v>180300</v>
          </cell>
          <cell r="G1332">
            <v>53800</v>
          </cell>
          <cell r="H1332">
            <v>19000</v>
          </cell>
          <cell r="I1332">
            <v>53200000</v>
          </cell>
          <cell r="J1332">
            <v>4570000</v>
          </cell>
        </row>
        <row r="1333">
          <cell r="A1333" t="str">
            <v>0500-03050-21</v>
          </cell>
          <cell r="B1333" t="str">
            <v xml:space="preserve">MC 1000 XL System on Macintosh </v>
          </cell>
          <cell r="C1333">
            <v>67500</v>
          </cell>
          <cell r="D1333">
            <v>50600</v>
          </cell>
          <cell r="E1333">
            <v>61800</v>
          </cell>
          <cell r="F1333">
            <v>405700</v>
          </cell>
          <cell r="G1333">
            <v>121000</v>
          </cell>
          <cell r="H1333">
            <v>42800</v>
          </cell>
          <cell r="I1333">
            <v>119800000</v>
          </cell>
          <cell r="J1333">
            <v>10290000</v>
          </cell>
        </row>
        <row r="1334">
          <cell r="A1334" t="str">
            <v>0560-03100-02</v>
          </cell>
          <cell r="B1334" t="str">
            <v>PRM,MC40003D W/FILM TO MC1000XL NT W/CPU&amp; LVD</v>
          </cell>
          <cell r="C1334">
            <v>29995</v>
          </cell>
          <cell r="D1334">
            <v>22500</v>
          </cell>
          <cell r="E1334">
            <v>27500</v>
          </cell>
          <cell r="F1334">
            <v>180300</v>
          </cell>
          <cell r="G1334">
            <v>53800</v>
          </cell>
          <cell r="H1334">
            <v>19000</v>
          </cell>
          <cell r="I1334">
            <v>53200000</v>
          </cell>
          <cell r="J1334">
            <v>4570000</v>
          </cell>
        </row>
        <row r="1335">
          <cell r="A1335" t="str">
            <v>0560-03157-01</v>
          </cell>
          <cell r="B1335" t="str">
            <v>PRM,MC40002D-MC1000XL NT,W/CPU,FC</v>
          </cell>
          <cell r="C1335">
            <v>29995</v>
          </cell>
          <cell r="D1335">
            <v>22500</v>
          </cell>
          <cell r="E1335">
            <v>27500</v>
          </cell>
          <cell r="F1335">
            <v>180300</v>
          </cell>
          <cell r="G1335">
            <v>53800</v>
          </cell>
          <cell r="H1335">
            <v>19000</v>
          </cell>
          <cell r="I1335">
            <v>53200000</v>
          </cell>
          <cell r="J1335">
            <v>4570000</v>
          </cell>
        </row>
        <row r="1336">
          <cell r="A1336" t="str">
            <v>0500-03076-21</v>
          </cell>
          <cell r="B1336" t="str">
            <v xml:space="preserve">PRD, MCO XL NT Dual LVD </v>
          </cell>
          <cell r="C1336">
            <v>47500</v>
          </cell>
          <cell r="D1336">
            <v>35600</v>
          </cell>
          <cell r="E1336">
            <v>43500</v>
          </cell>
          <cell r="F1336">
            <v>285500</v>
          </cell>
          <cell r="G1336">
            <v>85100</v>
          </cell>
          <cell r="H1336">
            <v>30100</v>
          </cell>
          <cell r="I1336">
            <v>84300000</v>
          </cell>
          <cell r="J1336">
            <v>7240000</v>
          </cell>
        </row>
        <row r="1337">
          <cell r="A1337" t="str">
            <v>0560-03158-01</v>
          </cell>
          <cell r="B1337" t="str">
            <v>PRM,MC40002D-MC1000XL NT,W/CPU,LVD</v>
          </cell>
          <cell r="C1337">
            <v>29995</v>
          </cell>
          <cell r="D1337">
            <v>22500</v>
          </cell>
          <cell r="E1337">
            <v>27500</v>
          </cell>
          <cell r="F1337">
            <v>180300</v>
          </cell>
          <cell r="G1337">
            <v>53800</v>
          </cell>
          <cell r="H1337">
            <v>19000</v>
          </cell>
          <cell r="I1337">
            <v>53200000</v>
          </cell>
          <cell r="J1337">
            <v>4570000</v>
          </cell>
        </row>
        <row r="1338">
          <cell r="A1338" t="str">
            <v>0560-03097-01</v>
          </cell>
          <cell r="B1338" t="str">
            <v>PRM,MC40002D W/FILM TO FCXL NT W/CPU &amp; FC</v>
          </cell>
          <cell r="C1338">
            <v>29995</v>
          </cell>
          <cell r="D1338">
            <v>22500</v>
          </cell>
          <cell r="E1338">
            <v>27500</v>
          </cell>
          <cell r="F1338">
            <v>180300</v>
          </cell>
          <cell r="G1338">
            <v>53800</v>
          </cell>
          <cell r="H1338">
            <v>19000</v>
          </cell>
          <cell r="I1338">
            <v>53200000</v>
          </cell>
          <cell r="J1338">
            <v>4570000</v>
          </cell>
        </row>
        <row r="1339">
          <cell r="A1339" t="str">
            <v>0560-03097-02</v>
          </cell>
          <cell r="B1339" t="str">
            <v>PRM,MC40002D W/FILM TO FCXL NT W/CPU &amp; LVD</v>
          </cell>
          <cell r="C1339">
            <v>29995</v>
          </cell>
          <cell r="D1339">
            <v>22500</v>
          </cell>
          <cell r="E1339">
            <v>27500</v>
          </cell>
          <cell r="F1339">
            <v>180300</v>
          </cell>
          <cell r="G1339">
            <v>53800</v>
          </cell>
          <cell r="H1339">
            <v>19000</v>
          </cell>
          <cell r="I1339">
            <v>53200000</v>
          </cell>
          <cell r="J1339">
            <v>4570000</v>
          </cell>
        </row>
        <row r="1340">
          <cell r="A1340" t="str">
            <v>0010-03523-01</v>
          </cell>
          <cell r="B1340" t="str">
            <v xml:space="preserve">SUB Fibre Channel Engine MCO XLNT </v>
          </cell>
          <cell r="D1340">
            <v>0</v>
          </cell>
          <cell r="E1340">
            <v>0</v>
          </cell>
          <cell r="F1340">
            <v>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</row>
        <row r="1341">
          <cell r="A1341" t="str">
            <v>0560-03098-01</v>
          </cell>
          <cell r="B1341" t="str">
            <v>PRM,MC40002D W/FILM TO MC1000 NT W/CPU &amp; FC</v>
          </cell>
          <cell r="C1341">
            <v>29995</v>
          </cell>
          <cell r="D1341">
            <v>22500</v>
          </cell>
          <cell r="E1341">
            <v>27500</v>
          </cell>
          <cell r="F1341">
            <v>180300</v>
          </cell>
          <cell r="G1341">
            <v>53800</v>
          </cell>
          <cell r="H1341">
            <v>19000</v>
          </cell>
          <cell r="I1341">
            <v>53200000</v>
          </cell>
          <cell r="J1341">
            <v>4570000</v>
          </cell>
        </row>
        <row r="1342">
          <cell r="A1342" t="str">
            <v>0560-03098-02</v>
          </cell>
          <cell r="B1342" t="str">
            <v>PRM,MC40002D W/FILM TO MC1000 NT W/CPU &amp; LVD</v>
          </cell>
          <cell r="C1342">
            <v>29995</v>
          </cell>
          <cell r="D1342">
            <v>22500</v>
          </cell>
          <cell r="E1342">
            <v>27500</v>
          </cell>
          <cell r="F1342">
            <v>180300</v>
          </cell>
          <cell r="G1342">
            <v>53800</v>
          </cell>
          <cell r="H1342">
            <v>19000</v>
          </cell>
          <cell r="I1342">
            <v>53200000</v>
          </cell>
          <cell r="J1342">
            <v>4570000</v>
          </cell>
        </row>
        <row r="1343">
          <cell r="A1343" t="str">
            <v>0560-03159-01</v>
          </cell>
          <cell r="B1343" t="str">
            <v>PRM,FILMCOMPSER - FCXLNT,W/CPU,FC</v>
          </cell>
          <cell r="C1343">
            <v>29995</v>
          </cell>
          <cell r="D1343">
            <v>22500</v>
          </cell>
          <cell r="E1343">
            <v>27500</v>
          </cell>
          <cell r="F1343">
            <v>180300</v>
          </cell>
          <cell r="G1343">
            <v>53800</v>
          </cell>
          <cell r="H1343">
            <v>19000</v>
          </cell>
          <cell r="I1343">
            <v>53200000</v>
          </cell>
          <cell r="J1343">
            <v>4570000</v>
          </cell>
        </row>
        <row r="1344">
          <cell r="A1344" t="str">
            <v>0560-03160-01</v>
          </cell>
          <cell r="B1344" t="str">
            <v>PRM,FILMCOMPSER - FCXLNT,W.CPU,LVD</v>
          </cell>
          <cell r="C1344">
            <v>29995</v>
          </cell>
          <cell r="D1344">
            <v>22500</v>
          </cell>
          <cell r="E1344">
            <v>27500</v>
          </cell>
          <cell r="F1344">
            <v>180300</v>
          </cell>
          <cell r="G1344">
            <v>53800</v>
          </cell>
          <cell r="H1344">
            <v>19000</v>
          </cell>
          <cell r="I1344">
            <v>53200000</v>
          </cell>
          <cell r="J1344">
            <v>4570000</v>
          </cell>
        </row>
        <row r="1345">
          <cell r="A1345" t="str">
            <v>0560-03161-01</v>
          </cell>
          <cell r="B1345" t="str">
            <v>PRM,FILMCOMPSR-MC1000XL NT,W/CPU,FC</v>
          </cell>
          <cell r="C1345">
            <v>29995</v>
          </cell>
          <cell r="D1345">
            <v>22500</v>
          </cell>
          <cell r="E1345">
            <v>27500</v>
          </cell>
          <cell r="F1345">
            <v>180300</v>
          </cell>
          <cell r="G1345">
            <v>53800</v>
          </cell>
          <cell r="H1345">
            <v>19000</v>
          </cell>
          <cell r="I1345">
            <v>53200000</v>
          </cell>
          <cell r="J1345">
            <v>4570000</v>
          </cell>
        </row>
        <row r="1346">
          <cell r="A1346" t="str">
            <v>0560-03162-01</v>
          </cell>
          <cell r="B1346" t="str">
            <v>PRM,FILMCOMPSR-MC1000XL NT,W/CPU,LVD</v>
          </cell>
          <cell r="C1346">
            <v>29995</v>
          </cell>
          <cell r="D1346">
            <v>22500</v>
          </cell>
          <cell r="E1346">
            <v>27500</v>
          </cell>
          <cell r="F1346">
            <v>180300</v>
          </cell>
          <cell r="G1346">
            <v>53800</v>
          </cell>
          <cell r="H1346">
            <v>19000</v>
          </cell>
          <cell r="I1346">
            <v>53200000</v>
          </cell>
          <cell r="J1346">
            <v>4570000</v>
          </cell>
        </row>
        <row r="1347">
          <cell r="A1347" t="str">
            <v>0510-03158-01</v>
          </cell>
          <cell r="B1347" t="str">
            <v>UPG,MC1000XL NTM2,2x1:1,FX,UO - MC9000XL</v>
          </cell>
          <cell r="C1347">
            <v>2500</v>
          </cell>
          <cell r="D1347">
            <v>1900</v>
          </cell>
          <cell r="E1347">
            <v>2300</v>
          </cell>
          <cell r="F1347">
            <v>15000</v>
          </cell>
          <cell r="G1347">
            <v>4500</v>
          </cell>
          <cell r="H1347">
            <v>1600</v>
          </cell>
          <cell r="I1347">
            <v>4400000</v>
          </cell>
          <cell r="J1347">
            <v>380000</v>
          </cell>
        </row>
        <row r="1348">
          <cell r="A1348" t="str">
            <v>0500-03055-21</v>
          </cell>
          <cell r="B1348" t="str">
            <v>PRD, MC 1000 XLNT With Dual LVD Card</v>
          </cell>
          <cell r="C1348">
            <v>67500</v>
          </cell>
          <cell r="D1348">
            <v>50600</v>
          </cell>
          <cell r="E1348">
            <v>61800</v>
          </cell>
          <cell r="F1348">
            <v>405700</v>
          </cell>
          <cell r="G1348">
            <v>121000</v>
          </cell>
          <cell r="H1348">
            <v>42800</v>
          </cell>
          <cell r="I1348">
            <v>119800000</v>
          </cell>
          <cell r="J1348">
            <v>10290000</v>
          </cell>
        </row>
        <row r="1349">
          <cell r="A1349" t="str">
            <v>0560-03163-01</v>
          </cell>
          <cell r="B1349" t="str">
            <v>PRM,MC10003D-MC1000XL NT,W/CPU,FC</v>
          </cell>
          <cell r="C1349">
            <v>29995</v>
          </cell>
          <cell r="D1349">
            <v>22500</v>
          </cell>
          <cell r="E1349">
            <v>27500</v>
          </cell>
          <cell r="F1349">
            <v>180300</v>
          </cell>
          <cell r="G1349">
            <v>53800</v>
          </cell>
          <cell r="H1349">
            <v>19000</v>
          </cell>
          <cell r="I1349">
            <v>53200000</v>
          </cell>
          <cell r="J1349">
            <v>4570000</v>
          </cell>
        </row>
        <row r="1350">
          <cell r="A1350" t="str">
            <v>0510-03159-01</v>
          </cell>
          <cell r="B1350" t="str">
            <v>UPG,MCOFFLINEXL NTM2-MC1000XL NTM2</v>
          </cell>
          <cell r="C1350">
            <v>24000</v>
          </cell>
          <cell r="D1350">
            <v>18000</v>
          </cell>
          <cell r="E1350">
            <v>22000</v>
          </cell>
          <cell r="F1350">
            <v>144200</v>
          </cell>
          <cell r="G1350">
            <v>43000</v>
          </cell>
          <cell r="H1350">
            <v>15200</v>
          </cell>
          <cell r="I1350">
            <v>42600000</v>
          </cell>
          <cell r="J1350">
            <v>3660000</v>
          </cell>
        </row>
        <row r="1351">
          <cell r="A1351" t="str">
            <v>0560-03164-01</v>
          </cell>
          <cell r="B1351" t="str">
            <v>PRM,MC10003D-MC1000XL NT,W/CPU,LVD</v>
          </cell>
          <cell r="C1351">
            <v>29995</v>
          </cell>
          <cell r="D1351">
            <v>22500</v>
          </cell>
          <cell r="E1351">
            <v>27500</v>
          </cell>
          <cell r="F1351">
            <v>180300</v>
          </cell>
          <cell r="G1351">
            <v>53800</v>
          </cell>
          <cell r="H1351">
            <v>19000</v>
          </cell>
          <cell r="I1351">
            <v>53200000</v>
          </cell>
          <cell r="J1351">
            <v>4570000</v>
          </cell>
        </row>
        <row r="1352">
          <cell r="A1352" t="str">
            <v>0510-03160-01</v>
          </cell>
          <cell r="B1352" t="str">
            <v>UPG,MCOFFLINEXL NTM2,UO,FX,- FCXL NTM2</v>
          </cell>
          <cell r="C1352">
            <v>500</v>
          </cell>
          <cell r="D1352">
            <v>380</v>
          </cell>
          <cell r="E1352">
            <v>460</v>
          </cell>
          <cell r="F1352">
            <v>3010</v>
          </cell>
          <cell r="G1352">
            <v>900</v>
          </cell>
          <cell r="H1352">
            <v>320</v>
          </cell>
          <cell r="I1352">
            <v>887000</v>
          </cell>
          <cell r="J1352">
            <v>76200</v>
          </cell>
        </row>
        <row r="1353">
          <cell r="A1353" t="str">
            <v>0560-03095-01</v>
          </cell>
          <cell r="B1353" t="str">
            <v>PRM,MC10003D W/FILM TO MC1000XL NT W/CPU &amp; FC</v>
          </cell>
          <cell r="C1353">
            <v>29995</v>
          </cell>
          <cell r="D1353">
            <v>22500</v>
          </cell>
          <cell r="E1353">
            <v>27500</v>
          </cell>
          <cell r="F1353">
            <v>180300</v>
          </cell>
          <cell r="G1353">
            <v>53800</v>
          </cell>
          <cell r="H1353">
            <v>19000</v>
          </cell>
          <cell r="I1353">
            <v>53200000</v>
          </cell>
          <cell r="J1353">
            <v>4570000</v>
          </cell>
        </row>
        <row r="1354">
          <cell r="A1354" t="str">
            <v>0510-03161-01</v>
          </cell>
          <cell r="B1354" t="str">
            <v>UPG,MCOFFLINEXL NTM2,UO,FX,- MC9000XL</v>
          </cell>
          <cell r="C1354">
            <v>36500</v>
          </cell>
          <cell r="D1354">
            <v>27400</v>
          </cell>
          <cell r="E1354">
            <v>33400</v>
          </cell>
          <cell r="F1354">
            <v>219400</v>
          </cell>
          <cell r="G1354">
            <v>65400</v>
          </cell>
          <cell r="H1354">
            <v>23100</v>
          </cell>
          <cell r="I1354">
            <v>64800000</v>
          </cell>
          <cell r="J1354">
            <v>5560000</v>
          </cell>
        </row>
        <row r="1355">
          <cell r="A1355" t="str">
            <v>0510-03162-01</v>
          </cell>
          <cell r="B1355" t="str">
            <v>UPG,FC XL,NTM2-MC9000XL NTM2</v>
          </cell>
          <cell r="C1355">
            <v>36000</v>
          </cell>
          <cell r="D1355">
            <v>27000</v>
          </cell>
          <cell r="E1355">
            <v>33000</v>
          </cell>
          <cell r="F1355">
            <v>216400</v>
          </cell>
          <cell r="G1355">
            <v>64500</v>
          </cell>
          <cell r="H1355">
            <v>22800</v>
          </cell>
          <cell r="I1355">
            <v>63900000</v>
          </cell>
          <cell r="J1355">
            <v>5490000</v>
          </cell>
        </row>
        <row r="1356">
          <cell r="A1356" t="str">
            <v>0560-03095-02</v>
          </cell>
          <cell r="B1356" t="str">
            <v>PRM,MC10003D W/FILM TO MC1000XL NT W/CPU &amp; LVD</v>
          </cell>
          <cell r="C1356">
            <v>29995</v>
          </cell>
          <cell r="D1356">
            <v>22500</v>
          </cell>
          <cell r="E1356">
            <v>27500</v>
          </cell>
          <cell r="F1356">
            <v>180300</v>
          </cell>
          <cell r="G1356">
            <v>53800</v>
          </cell>
          <cell r="H1356">
            <v>19000</v>
          </cell>
          <cell r="I1356">
            <v>53200000</v>
          </cell>
          <cell r="J1356">
            <v>4570000</v>
          </cell>
        </row>
        <row r="1357">
          <cell r="A1357" t="str">
            <v>0560-03165-01</v>
          </cell>
          <cell r="B1357" t="str">
            <v>PRM,MC10002D-MC1000XL NT,W/CPU,FC</v>
          </cell>
          <cell r="C1357">
            <v>29995</v>
          </cell>
          <cell r="D1357">
            <v>22500</v>
          </cell>
          <cell r="E1357">
            <v>27500</v>
          </cell>
          <cell r="F1357">
            <v>180300</v>
          </cell>
          <cell r="G1357">
            <v>53800</v>
          </cell>
          <cell r="H1357">
            <v>19000</v>
          </cell>
          <cell r="I1357">
            <v>53200000</v>
          </cell>
          <cell r="J1357">
            <v>4570000</v>
          </cell>
        </row>
        <row r="1358">
          <cell r="A1358" t="str">
            <v>0010-03670-01</v>
          </cell>
          <cell r="B1358" t="str">
            <v>1:1 Single To Dual  Stream Option</v>
          </cell>
          <cell r="C1358">
            <v>5000</v>
          </cell>
          <cell r="D1358">
            <v>3800</v>
          </cell>
          <cell r="E1358">
            <v>4600</v>
          </cell>
          <cell r="F1358">
            <v>30100</v>
          </cell>
          <cell r="G1358">
            <v>9000</v>
          </cell>
          <cell r="H1358">
            <v>3200</v>
          </cell>
          <cell r="I1358">
            <v>8900000</v>
          </cell>
          <cell r="J1358">
            <v>760000</v>
          </cell>
        </row>
        <row r="1359">
          <cell r="A1359" t="str">
            <v>0560-03166-01</v>
          </cell>
          <cell r="B1359" t="str">
            <v>PRM,MC10002D-MC1000XL NT,W/CPU,LVD</v>
          </cell>
          <cell r="C1359">
            <v>29995</v>
          </cell>
          <cell r="D1359">
            <v>22500</v>
          </cell>
          <cell r="E1359">
            <v>27500</v>
          </cell>
          <cell r="F1359">
            <v>180300</v>
          </cell>
          <cell r="G1359">
            <v>53800</v>
          </cell>
          <cell r="H1359">
            <v>19000</v>
          </cell>
          <cell r="I1359">
            <v>53200000</v>
          </cell>
          <cell r="J1359">
            <v>4570000</v>
          </cell>
        </row>
        <row r="1360">
          <cell r="A1360" t="str">
            <v>0560-03092-01</v>
          </cell>
          <cell r="B1360" t="str">
            <v>PRM,MC10002D W/FILM TO FCXL NT W/CPU &amp; FC</v>
          </cell>
          <cell r="C1360">
            <v>29995</v>
          </cell>
          <cell r="D1360">
            <v>22500</v>
          </cell>
          <cell r="E1360">
            <v>27500</v>
          </cell>
          <cell r="F1360">
            <v>180300</v>
          </cell>
          <cell r="G1360">
            <v>53800</v>
          </cell>
          <cell r="H1360">
            <v>19000</v>
          </cell>
          <cell r="I1360">
            <v>53200000</v>
          </cell>
          <cell r="J1360">
            <v>4570000</v>
          </cell>
        </row>
        <row r="1361">
          <cell r="A1361" t="str">
            <v>0560-03092-02</v>
          </cell>
          <cell r="B1361" t="str">
            <v>PRM,MC10002D W/FILM TO FCXL NT W/CPU &amp; LVD</v>
          </cell>
          <cell r="C1361">
            <v>29995</v>
          </cell>
          <cell r="D1361">
            <v>22500</v>
          </cell>
          <cell r="E1361">
            <v>27500</v>
          </cell>
          <cell r="F1361">
            <v>180300</v>
          </cell>
          <cell r="G1361">
            <v>53800</v>
          </cell>
          <cell r="H1361">
            <v>19000</v>
          </cell>
          <cell r="I1361">
            <v>53200000</v>
          </cell>
          <cell r="J1361">
            <v>4570000</v>
          </cell>
        </row>
        <row r="1362">
          <cell r="A1362" t="str">
            <v>0560-03093-01</v>
          </cell>
          <cell r="B1362" t="str">
            <v>PRM,MC10002D W/FILM TO MC1000XL NT W/CPU &amp;  FC</v>
          </cell>
          <cell r="C1362">
            <v>29995</v>
          </cell>
          <cell r="D1362">
            <v>22500</v>
          </cell>
          <cell r="E1362">
            <v>27500</v>
          </cell>
          <cell r="F1362">
            <v>180300</v>
          </cell>
          <cell r="G1362">
            <v>53800</v>
          </cell>
          <cell r="H1362">
            <v>19000</v>
          </cell>
          <cell r="I1362">
            <v>53200000</v>
          </cell>
          <cell r="J1362">
            <v>4570000</v>
          </cell>
        </row>
        <row r="1363">
          <cell r="A1363" t="str">
            <v>0560-03093-02</v>
          </cell>
          <cell r="B1363" t="str">
            <v>PRM,MC10002D W/FILM TO MC1000XL NT W/CPU &amp;  LVD</v>
          </cell>
          <cell r="C1363">
            <v>29995</v>
          </cell>
          <cell r="D1363">
            <v>22500</v>
          </cell>
          <cell r="E1363">
            <v>27500</v>
          </cell>
          <cell r="F1363">
            <v>180300</v>
          </cell>
          <cell r="G1363">
            <v>53800</v>
          </cell>
          <cell r="H1363">
            <v>19000</v>
          </cell>
          <cell r="I1363">
            <v>53200000</v>
          </cell>
          <cell r="J1363">
            <v>4570000</v>
          </cell>
        </row>
        <row r="1364">
          <cell r="A1364" t="str">
            <v>0560-03167-01</v>
          </cell>
          <cell r="B1364" t="str">
            <v>PRM,OFFLINE-MC1000XL NT,W/CPU,FC</v>
          </cell>
          <cell r="C1364">
            <v>29995</v>
          </cell>
          <cell r="D1364">
            <v>22500</v>
          </cell>
          <cell r="E1364">
            <v>27500</v>
          </cell>
          <cell r="F1364">
            <v>180300</v>
          </cell>
          <cell r="G1364">
            <v>53800</v>
          </cell>
          <cell r="H1364">
            <v>19000</v>
          </cell>
          <cell r="I1364">
            <v>53200000</v>
          </cell>
          <cell r="J1364">
            <v>4570000</v>
          </cell>
        </row>
        <row r="1365">
          <cell r="A1365" t="str">
            <v>0560-03168-01</v>
          </cell>
          <cell r="B1365" t="str">
            <v>PRM,OFFLINE-MC1000XL NT,W/CPU,LVD</v>
          </cell>
          <cell r="C1365">
            <v>29995</v>
          </cell>
          <cell r="D1365">
            <v>22500</v>
          </cell>
          <cell r="E1365">
            <v>27500</v>
          </cell>
          <cell r="F1365">
            <v>180300</v>
          </cell>
          <cell r="G1365">
            <v>53800</v>
          </cell>
          <cell r="H1365">
            <v>19000</v>
          </cell>
          <cell r="I1365">
            <v>53200000</v>
          </cell>
          <cell r="J1365">
            <v>4570000</v>
          </cell>
        </row>
        <row r="1366">
          <cell r="A1366" t="str">
            <v>0010-03521-01</v>
          </cell>
          <cell r="B1366" t="str">
            <v xml:space="preserve">SUB Fibre Channel Engine MC 1000 XLNT </v>
          </cell>
          <cell r="D1366">
            <v>0</v>
          </cell>
          <cell r="E1366">
            <v>0</v>
          </cell>
          <cell r="F1366">
            <v>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</row>
        <row r="1367">
          <cell r="A1367" t="str">
            <v>0560-03089-02</v>
          </cell>
          <cell r="B1367" t="str">
            <v>PRM,MC OFFLINE W/FILM TO FC XL NT W/CPU &amp; FC</v>
          </cell>
          <cell r="C1367">
            <v>29995</v>
          </cell>
          <cell r="D1367">
            <v>22500</v>
          </cell>
          <cell r="E1367">
            <v>27500</v>
          </cell>
          <cell r="F1367">
            <v>180300</v>
          </cell>
          <cell r="G1367">
            <v>53800</v>
          </cell>
          <cell r="H1367">
            <v>19000</v>
          </cell>
          <cell r="I1367">
            <v>53200000</v>
          </cell>
          <cell r="J1367">
            <v>4570000</v>
          </cell>
        </row>
        <row r="1368">
          <cell r="A1368" t="str">
            <v>0560-03089-01</v>
          </cell>
          <cell r="B1368" t="str">
            <v>PRM,MC OFFLINE W/FILM TO FC XL NT W/CPU &amp; LVD</v>
          </cell>
          <cell r="C1368">
            <v>29995</v>
          </cell>
          <cell r="D1368">
            <v>22500</v>
          </cell>
          <cell r="E1368">
            <v>27500</v>
          </cell>
          <cell r="F1368">
            <v>180300</v>
          </cell>
          <cell r="G1368">
            <v>53800</v>
          </cell>
          <cell r="H1368">
            <v>19000</v>
          </cell>
          <cell r="I1368">
            <v>53200000</v>
          </cell>
          <cell r="J1368">
            <v>4570000</v>
          </cell>
        </row>
        <row r="1369">
          <cell r="A1369" t="str">
            <v>0010-03519-01</v>
          </cell>
          <cell r="B1369" t="str">
            <v xml:space="preserve">SUB Fibre Channel Engine MC 9000 XLNT </v>
          </cell>
          <cell r="D1369">
            <v>0</v>
          </cell>
          <cell r="E1369">
            <v>0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</row>
        <row r="1370">
          <cell r="A1370" t="str">
            <v>0560-03090-01</v>
          </cell>
          <cell r="B1370" t="str">
            <v>PRM,MCOFFLINE W/FILM TO MC1000XL NT W/CPU &amp; FC</v>
          </cell>
          <cell r="C1370">
            <v>29995</v>
          </cell>
          <cell r="D1370">
            <v>22500</v>
          </cell>
          <cell r="E1370">
            <v>27500</v>
          </cell>
          <cell r="F1370">
            <v>180300</v>
          </cell>
          <cell r="G1370">
            <v>53800</v>
          </cell>
          <cell r="H1370">
            <v>19000</v>
          </cell>
          <cell r="I1370">
            <v>53200000</v>
          </cell>
          <cell r="J1370">
            <v>4570000</v>
          </cell>
        </row>
        <row r="1371">
          <cell r="A1371" t="str">
            <v>0010-03517-01</v>
          </cell>
          <cell r="B1371" t="str">
            <v>Kit, Symphony 1.0 to 2.0  Upgrade</v>
          </cell>
          <cell r="D1371">
            <v>0</v>
          </cell>
          <cell r="E1371">
            <v>0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</row>
        <row r="1372">
          <cell r="A1372" t="str">
            <v>0560-03090-02</v>
          </cell>
          <cell r="B1372" t="str">
            <v>PRM,MCOFFLINE W/FILM TO MC1000XL NT W/CPU &amp; LVD</v>
          </cell>
          <cell r="C1372">
            <v>29995</v>
          </cell>
          <cell r="D1372">
            <v>22500</v>
          </cell>
          <cell r="E1372">
            <v>27500</v>
          </cell>
          <cell r="F1372">
            <v>180300</v>
          </cell>
          <cell r="G1372">
            <v>53800</v>
          </cell>
          <cell r="H1372">
            <v>19000</v>
          </cell>
          <cell r="I1372">
            <v>53200000</v>
          </cell>
          <cell r="J1372">
            <v>4570000</v>
          </cell>
        </row>
        <row r="1373">
          <cell r="A1373" t="str">
            <v>0010-03518-01</v>
          </cell>
          <cell r="B1373" t="str">
            <v>Kit, Symphony To Universal Upgrade</v>
          </cell>
          <cell r="D1373">
            <v>0</v>
          </cell>
          <cell r="E1373">
            <v>0</v>
          </cell>
          <cell r="F1373">
            <v>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</row>
        <row r="1374">
          <cell r="A1374" t="str">
            <v>0560-03169-01</v>
          </cell>
          <cell r="B1374" t="str">
            <v>PRM,MC900-MC1000XL NT,W/CPU,FC</v>
          </cell>
          <cell r="C1374">
            <v>29995</v>
          </cell>
          <cell r="D1374">
            <v>22500</v>
          </cell>
          <cell r="E1374">
            <v>27500</v>
          </cell>
          <cell r="F1374">
            <v>180300</v>
          </cell>
          <cell r="G1374">
            <v>53800</v>
          </cell>
          <cell r="H1374">
            <v>19000</v>
          </cell>
          <cell r="I1374">
            <v>53200000</v>
          </cell>
          <cell r="J1374">
            <v>4570000</v>
          </cell>
        </row>
        <row r="1375">
          <cell r="A1375" t="str">
            <v>0560-03170-01</v>
          </cell>
          <cell r="B1375" t="str">
            <v>PRM,MC900-MC1000XL NT,W/CPU,LVD</v>
          </cell>
          <cell r="C1375">
            <v>29995</v>
          </cell>
          <cell r="D1375">
            <v>22500</v>
          </cell>
          <cell r="E1375">
            <v>27500</v>
          </cell>
          <cell r="F1375">
            <v>180300</v>
          </cell>
          <cell r="G1375">
            <v>53800</v>
          </cell>
          <cell r="H1375">
            <v>19000</v>
          </cell>
          <cell r="I1375">
            <v>53200000</v>
          </cell>
          <cell r="J1375">
            <v>4570000</v>
          </cell>
        </row>
        <row r="1376">
          <cell r="A1376" t="str">
            <v>0010-03525-01</v>
          </cell>
          <cell r="B1376" t="str">
            <v xml:space="preserve">SUB Fibre Channel Engine FC XLNT </v>
          </cell>
          <cell r="D1376">
            <v>0</v>
          </cell>
          <cell r="E1376">
            <v>0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</row>
        <row r="1377">
          <cell r="A1377" t="str">
            <v>0510-03102-01</v>
          </cell>
          <cell r="B1377" t="str">
            <v>UPG,MC OFFLINE XL/MAC TO MC1000XL/MAC SFW</v>
          </cell>
          <cell r="C1377">
            <v>24000</v>
          </cell>
          <cell r="D1377">
            <v>18000</v>
          </cell>
          <cell r="E1377">
            <v>21990</v>
          </cell>
          <cell r="F1377">
            <v>144240</v>
          </cell>
          <cell r="G1377">
            <v>43010</v>
          </cell>
          <cell r="H1377">
            <v>15210</v>
          </cell>
          <cell r="I1377">
            <v>42578000</v>
          </cell>
          <cell r="J1377">
            <v>3658800</v>
          </cell>
        </row>
        <row r="1378">
          <cell r="A1378" t="str">
            <v>0510-03181-25</v>
          </cell>
          <cell r="B1378" t="str">
            <v>UPG XP ABVB Plus to Mac Mer Deluxe (no CPU/Extdr)</v>
          </cell>
          <cell r="C1378">
            <v>14000</v>
          </cell>
          <cell r="D1378">
            <v>10500</v>
          </cell>
          <cell r="E1378">
            <v>12800</v>
          </cell>
          <cell r="F1378">
            <v>84100</v>
          </cell>
          <cell r="G1378">
            <v>25100</v>
          </cell>
          <cell r="H1378">
            <v>8900</v>
          </cell>
          <cell r="I1378">
            <v>24800000</v>
          </cell>
          <cell r="J1378">
            <v>2130000</v>
          </cell>
        </row>
        <row r="1379">
          <cell r="A1379" t="str">
            <v>0510-03183-25</v>
          </cell>
          <cell r="B1379" t="str">
            <v>UPG XP ABVB Deluxe to Mac Mer Elite (no CPU/Extdr)</v>
          </cell>
          <cell r="C1379">
            <v>20000</v>
          </cell>
          <cell r="D1379">
            <v>15000</v>
          </cell>
          <cell r="E1379">
            <v>18300</v>
          </cell>
          <cell r="F1379">
            <v>120200</v>
          </cell>
          <cell r="G1379">
            <v>35800</v>
          </cell>
          <cell r="H1379">
            <v>12700</v>
          </cell>
          <cell r="I1379">
            <v>35500000</v>
          </cell>
          <cell r="J1379">
            <v>3050000</v>
          </cell>
        </row>
        <row r="1380">
          <cell r="A1380" t="str">
            <v>0510-03181-21</v>
          </cell>
          <cell r="B1380" t="str">
            <v>UPG XP ABVB Plus to Mac Mer Deluxe (incl. CPU/Ext)</v>
          </cell>
          <cell r="C1380">
            <v>18000</v>
          </cell>
          <cell r="D1380">
            <v>13500</v>
          </cell>
          <cell r="E1380">
            <v>16500</v>
          </cell>
          <cell r="F1380">
            <v>108200</v>
          </cell>
          <cell r="G1380">
            <v>32300</v>
          </cell>
          <cell r="H1380">
            <v>11400</v>
          </cell>
          <cell r="I1380">
            <v>31900000</v>
          </cell>
          <cell r="J1380">
            <v>2740000</v>
          </cell>
        </row>
        <row r="1381">
          <cell r="A1381" t="str">
            <v>0510-03183-21</v>
          </cell>
          <cell r="B1381" t="str">
            <v>UPG XP ABVB Deluxe to Mac Mer Elite (incl CPU/Ext)</v>
          </cell>
          <cell r="C1381">
            <v>24000</v>
          </cell>
          <cell r="D1381">
            <v>18000</v>
          </cell>
          <cell r="E1381">
            <v>22000</v>
          </cell>
          <cell r="F1381">
            <v>144200</v>
          </cell>
          <cell r="G1381">
            <v>43000</v>
          </cell>
          <cell r="H1381">
            <v>15200</v>
          </cell>
          <cell r="I1381">
            <v>42600000</v>
          </cell>
          <cell r="J1381">
            <v>3660000</v>
          </cell>
        </row>
        <row r="1382">
          <cell r="A1382" t="str">
            <v>0500-03062-25</v>
          </cell>
          <cell r="B1382" t="str">
            <v>Xpress Mac Meridien Plus kit</v>
          </cell>
          <cell r="C1382">
            <v>12999</v>
          </cell>
          <cell r="D1382">
            <v>9700</v>
          </cell>
          <cell r="E1382">
            <v>11900</v>
          </cell>
          <cell r="F1382">
            <v>78100</v>
          </cell>
          <cell r="G1382">
            <v>23300</v>
          </cell>
          <cell r="H1382">
            <v>8200</v>
          </cell>
          <cell r="I1382">
            <v>23100000</v>
          </cell>
          <cell r="J1382">
            <v>1980000</v>
          </cell>
        </row>
        <row r="1383">
          <cell r="A1383" t="str">
            <v>0500-03063-25</v>
          </cell>
          <cell r="B1383" t="str">
            <v>Xpress Mac Meridien Deluxe kit</v>
          </cell>
          <cell r="C1383">
            <v>19999</v>
          </cell>
          <cell r="D1383">
            <v>15000</v>
          </cell>
          <cell r="E1383">
            <v>18300</v>
          </cell>
          <cell r="F1383">
            <v>120200</v>
          </cell>
          <cell r="G1383">
            <v>35800</v>
          </cell>
          <cell r="H1383">
            <v>12700</v>
          </cell>
          <cell r="I1383">
            <v>35500000</v>
          </cell>
          <cell r="J1383">
            <v>3050000</v>
          </cell>
        </row>
        <row r="1384">
          <cell r="A1384" t="str">
            <v>0500-03064-25</v>
          </cell>
          <cell r="B1384" t="str">
            <v>Xpress Mac Meridien Elite kit</v>
          </cell>
          <cell r="C1384">
            <v>29999</v>
          </cell>
          <cell r="D1384">
            <v>22500</v>
          </cell>
          <cell r="E1384">
            <v>27500</v>
          </cell>
          <cell r="F1384">
            <v>180300</v>
          </cell>
          <cell r="G1384">
            <v>53800</v>
          </cell>
          <cell r="H1384">
            <v>19000</v>
          </cell>
          <cell r="I1384">
            <v>53200000</v>
          </cell>
          <cell r="J1384">
            <v>4570000</v>
          </cell>
        </row>
        <row r="1385">
          <cell r="A1385" t="str">
            <v>0500-03062-21</v>
          </cell>
          <cell r="B1385" t="str">
            <v>Xpress Mac Meridien Plus system (incl. monitor)</v>
          </cell>
          <cell r="C1385">
            <v>17499</v>
          </cell>
          <cell r="D1385">
            <v>13100</v>
          </cell>
          <cell r="E1385">
            <v>16000</v>
          </cell>
          <cell r="F1385">
            <v>105200</v>
          </cell>
          <cell r="G1385">
            <v>31400</v>
          </cell>
          <cell r="H1385">
            <v>11100</v>
          </cell>
          <cell r="I1385">
            <v>31000000</v>
          </cell>
          <cell r="J1385">
            <v>2670000</v>
          </cell>
        </row>
        <row r="1386">
          <cell r="A1386" t="str">
            <v>0500-03063-21</v>
          </cell>
          <cell r="B1386" t="str">
            <v>Xpress Mac Meridien Deluxe system (incl. monitor)</v>
          </cell>
          <cell r="C1386">
            <v>24499</v>
          </cell>
          <cell r="D1386">
            <v>18400</v>
          </cell>
          <cell r="E1386">
            <v>22400</v>
          </cell>
          <cell r="F1386">
            <v>147200</v>
          </cell>
          <cell r="G1386">
            <v>43900</v>
          </cell>
          <cell r="H1386">
            <v>15500</v>
          </cell>
          <cell r="I1386">
            <v>43500000</v>
          </cell>
          <cell r="J1386">
            <v>3730000</v>
          </cell>
        </row>
        <row r="1387">
          <cell r="A1387" t="str">
            <v>0500-03064-21</v>
          </cell>
          <cell r="B1387" t="str">
            <v>Xpress Mac Meridien Elite system (incl. monitor)</v>
          </cell>
          <cell r="C1387">
            <v>34499</v>
          </cell>
          <cell r="D1387">
            <v>25900</v>
          </cell>
          <cell r="E1387">
            <v>31600</v>
          </cell>
          <cell r="F1387">
            <v>207300</v>
          </cell>
          <cell r="G1387">
            <v>61800</v>
          </cell>
          <cell r="H1387">
            <v>21900</v>
          </cell>
          <cell r="I1387">
            <v>61200000</v>
          </cell>
          <cell r="J1387">
            <v>5260000</v>
          </cell>
        </row>
        <row r="1388">
          <cell r="A1388" t="str">
            <v>0020-03077-01</v>
          </cell>
          <cell r="B1388" t="str">
            <v>36GB MediaDrive LVD</v>
          </cell>
          <cell r="C1388">
            <v>3040</v>
          </cell>
          <cell r="D1388">
            <v>2300</v>
          </cell>
          <cell r="E1388">
            <v>2800</v>
          </cell>
          <cell r="F1388">
            <v>18300</v>
          </cell>
          <cell r="G1388">
            <v>5400</v>
          </cell>
          <cell r="H1388">
            <v>1900</v>
          </cell>
          <cell r="I1388">
            <v>5400000</v>
          </cell>
          <cell r="J1388">
            <v>460000</v>
          </cell>
        </row>
        <row r="1389">
          <cell r="A1389" t="str">
            <v>0020-03079-01</v>
          </cell>
          <cell r="B1389" t="str">
            <v>MediaDock iS18 LVD</v>
          </cell>
          <cell r="C1389">
            <v>1885</v>
          </cell>
          <cell r="D1389">
            <v>1400</v>
          </cell>
          <cell r="E1389">
            <v>1700</v>
          </cell>
          <cell r="F1389">
            <v>11300</v>
          </cell>
          <cell r="G1389">
            <v>3400</v>
          </cell>
          <cell r="H1389">
            <v>1200</v>
          </cell>
          <cell r="I1389">
            <v>3300000</v>
          </cell>
          <cell r="J1389">
            <v>290000</v>
          </cell>
        </row>
        <row r="1390">
          <cell r="A1390" t="str">
            <v>0070-03016-02</v>
          </cell>
          <cell r="B1390" t="str">
            <v>30' LVD Drive Cable</v>
          </cell>
          <cell r="C1390">
            <v>157</v>
          </cell>
          <cell r="D1390">
            <v>120</v>
          </cell>
          <cell r="E1390">
            <v>140</v>
          </cell>
          <cell r="F1390">
            <v>940</v>
          </cell>
          <cell r="G1390">
            <v>280</v>
          </cell>
          <cell r="H1390">
            <v>100</v>
          </cell>
          <cell r="I1390">
            <v>279000</v>
          </cell>
          <cell r="J1390">
            <v>23900</v>
          </cell>
        </row>
        <row r="1391">
          <cell r="A1391" t="str">
            <v>0510-03177-01</v>
          </cell>
          <cell r="B1391" t="str">
            <v>UPG XPNT Plus v2.1 to v3 (Sfw RN's)</v>
          </cell>
          <cell r="C1391">
            <v>1250</v>
          </cell>
          <cell r="D1391">
            <v>900</v>
          </cell>
          <cell r="E1391">
            <v>1100</v>
          </cell>
          <cell r="F1391">
            <v>7500</v>
          </cell>
          <cell r="G1391">
            <v>2200</v>
          </cell>
          <cell r="H1391">
            <v>800</v>
          </cell>
          <cell r="I1391">
            <v>2200000</v>
          </cell>
          <cell r="J1391">
            <v>190000</v>
          </cell>
        </row>
        <row r="1392">
          <cell r="A1392" t="str">
            <v>0510-03178-01</v>
          </cell>
          <cell r="B1392" t="str">
            <v>UPG XPNT Delx v2.1 to v3 (Sfw RN's)</v>
          </cell>
          <cell r="C1392">
            <v>2500</v>
          </cell>
          <cell r="D1392">
            <v>1900</v>
          </cell>
          <cell r="E1392">
            <v>2300</v>
          </cell>
          <cell r="F1392">
            <v>15000</v>
          </cell>
          <cell r="G1392">
            <v>4500</v>
          </cell>
          <cell r="H1392">
            <v>1600</v>
          </cell>
          <cell r="I1392">
            <v>4400000</v>
          </cell>
          <cell r="J1392">
            <v>380000</v>
          </cell>
        </row>
        <row r="1393">
          <cell r="A1393" t="str">
            <v>0510-03179-01</v>
          </cell>
          <cell r="B1393" t="str">
            <v>UPG XPNT Elite v2.1 to v3 (Sfw RN's)</v>
          </cell>
          <cell r="C1393">
            <v>3500</v>
          </cell>
          <cell r="D1393">
            <v>2600</v>
          </cell>
          <cell r="E1393">
            <v>3200</v>
          </cell>
          <cell r="F1393">
            <v>21000</v>
          </cell>
          <cell r="G1393">
            <v>6300</v>
          </cell>
          <cell r="H1393">
            <v>2200</v>
          </cell>
          <cell r="I1393">
            <v>6200000</v>
          </cell>
          <cell r="J1393">
            <v>530000</v>
          </cell>
        </row>
        <row r="1394">
          <cell r="A1394" t="str">
            <v>0010-03710-01</v>
          </cell>
          <cell r="B1394" t="str">
            <v>KIT, 8 channel audio I/O for Xpress-NT</v>
          </cell>
          <cell r="C1394">
            <v>6000</v>
          </cell>
          <cell r="D1394">
            <v>4500</v>
          </cell>
          <cell r="E1394">
            <v>5500</v>
          </cell>
          <cell r="F1394">
            <v>36100</v>
          </cell>
          <cell r="G1394">
            <v>10800</v>
          </cell>
          <cell r="H1394">
            <v>3800</v>
          </cell>
          <cell r="I1394">
            <v>10600000</v>
          </cell>
          <cell r="J1394">
            <v>910000</v>
          </cell>
        </row>
        <row r="1395">
          <cell r="A1395" t="str">
            <v>0100-03219-01</v>
          </cell>
          <cell r="B1395" t="str">
            <v>Sfw, XPNT VTR Play Emulation</v>
          </cell>
          <cell r="C1395">
            <v>995</v>
          </cell>
          <cell r="D1395">
            <v>700</v>
          </cell>
          <cell r="E1395">
            <v>900</v>
          </cell>
          <cell r="F1395">
            <v>6000</v>
          </cell>
          <cell r="G1395">
            <v>1800</v>
          </cell>
          <cell r="H1395">
            <v>600</v>
          </cell>
          <cell r="I1395">
            <v>1800000</v>
          </cell>
          <cell r="J1395">
            <v>150000</v>
          </cell>
        </row>
        <row r="1396">
          <cell r="A1396" t="str">
            <v>0560-03189-01</v>
          </cell>
          <cell r="B1396" t="str">
            <v>XPM MER 1:1 SINGLE STRM OPT FOC</v>
          </cell>
          <cell r="D1396">
            <v>0</v>
          </cell>
          <cell r="E1396">
            <v>0</v>
          </cell>
          <cell r="F1396">
            <v>0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</row>
        <row r="1397">
          <cell r="A1397" t="str">
            <v>0510-03203-21</v>
          </cell>
          <cell r="B1397" t="str">
            <v>UPG, Xpress Elite ABVB to Xpress Elite Mer sys</v>
          </cell>
          <cell r="C1397">
            <v>24000</v>
          </cell>
          <cell r="D1397">
            <v>18000</v>
          </cell>
          <cell r="E1397">
            <v>22000</v>
          </cell>
          <cell r="F1397">
            <v>144200</v>
          </cell>
          <cell r="G1397">
            <v>43000</v>
          </cell>
          <cell r="H1397">
            <v>15200</v>
          </cell>
          <cell r="I1397">
            <v>42600000</v>
          </cell>
          <cell r="J1397">
            <v>3660000</v>
          </cell>
        </row>
        <row r="1398">
          <cell r="A1398" t="str">
            <v>0510-03204-25</v>
          </cell>
          <cell r="B1398" t="str">
            <v>UPG, Xpress Elite ABVB to Xpress Elite Mer Kit</v>
          </cell>
          <cell r="C1398">
            <v>20000</v>
          </cell>
          <cell r="D1398">
            <v>15000</v>
          </cell>
          <cell r="E1398">
            <v>18300</v>
          </cell>
          <cell r="F1398">
            <v>120200</v>
          </cell>
          <cell r="G1398">
            <v>35800</v>
          </cell>
          <cell r="H1398">
            <v>12700</v>
          </cell>
          <cell r="I1398">
            <v>35500000</v>
          </cell>
          <cell r="J1398">
            <v>3050000</v>
          </cell>
        </row>
        <row r="1399">
          <cell r="A1399" t="str">
            <v>0010-03453-01</v>
          </cell>
          <cell r="B1399" t="str">
            <v>Unity Rackmount Chassis + 2X18GB+2LCC</v>
          </cell>
          <cell r="C1399">
            <v>8378</v>
          </cell>
          <cell r="D1399">
            <v>6300</v>
          </cell>
          <cell r="E1399">
            <v>7700</v>
          </cell>
          <cell r="F1399">
            <v>50400</v>
          </cell>
          <cell r="G1399">
            <v>15000</v>
          </cell>
          <cell r="H1399">
            <v>5300</v>
          </cell>
          <cell r="I1399">
            <v>14900000</v>
          </cell>
          <cell r="J1399">
            <v>1280000</v>
          </cell>
        </row>
        <row r="1400">
          <cell r="A1400" t="str">
            <v>0030-03036-01</v>
          </cell>
          <cell r="B1400" t="str">
            <v>Unity Mac Optical Client Adapter</v>
          </cell>
          <cell r="C1400">
            <v>1685</v>
          </cell>
          <cell r="D1400">
            <v>1300</v>
          </cell>
          <cell r="E1400">
            <v>1500</v>
          </cell>
          <cell r="F1400">
            <v>10100</v>
          </cell>
          <cell r="G1400">
            <v>3000</v>
          </cell>
          <cell r="H1400">
            <v>1100</v>
          </cell>
          <cell r="I1400">
            <v>3000000</v>
          </cell>
          <cell r="J1400">
            <v>260000</v>
          </cell>
        </row>
        <row r="1401">
          <cell r="A1401" t="str">
            <v>0030-03031-01</v>
          </cell>
          <cell r="B1401" t="str">
            <v>Unity NT Copper Client Adapter (Emulex board)</v>
          </cell>
          <cell r="C1401">
            <v>1495</v>
          </cell>
          <cell r="D1401">
            <v>1100</v>
          </cell>
          <cell r="E1401">
            <v>1400</v>
          </cell>
          <cell r="F1401">
            <v>9000</v>
          </cell>
          <cell r="G1401">
            <v>2700</v>
          </cell>
          <cell r="H1401">
            <v>900</v>
          </cell>
          <cell r="I1401">
            <v>2700000</v>
          </cell>
          <cell r="J1401">
            <v>230000</v>
          </cell>
        </row>
        <row r="1402">
          <cell r="A1402" t="str">
            <v>0010-03711-01</v>
          </cell>
          <cell r="B1402" t="str">
            <v>Unity Mac Copper Client Bundle</v>
          </cell>
          <cell r="C1402">
            <v>5490</v>
          </cell>
          <cell r="D1402">
            <v>4100</v>
          </cell>
          <cell r="E1402">
            <v>5000</v>
          </cell>
          <cell r="F1402">
            <v>33000</v>
          </cell>
          <cell r="G1402">
            <v>9800</v>
          </cell>
          <cell r="H1402">
            <v>3500</v>
          </cell>
          <cell r="I1402">
            <v>9700000</v>
          </cell>
          <cell r="J1402">
            <v>840000</v>
          </cell>
        </row>
        <row r="1403">
          <cell r="A1403" t="str">
            <v>0010-03712-01</v>
          </cell>
          <cell r="B1403" t="str">
            <v>Unity Mac Optical Client Bundle</v>
          </cell>
          <cell r="C1403">
            <v>5635</v>
          </cell>
          <cell r="D1403">
            <v>4200</v>
          </cell>
          <cell r="E1403">
            <v>5200</v>
          </cell>
          <cell r="F1403">
            <v>34700</v>
          </cell>
          <cell r="G1403">
            <v>10400</v>
          </cell>
          <cell r="H1403">
            <v>3600</v>
          </cell>
          <cell r="I1403">
            <v>10100000</v>
          </cell>
          <cell r="J1403">
            <v>870000</v>
          </cell>
        </row>
        <row r="1404">
          <cell r="A1404" t="str">
            <v>0010-03571-01</v>
          </cell>
          <cell r="B1404" t="str">
            <v>Unity 8 port MediaSwitch</v>
          </cell>
          <cell r="C1404">
            <v>13815</v>
          </cell>
          <cell r="D1404">
            <v>10400</v>
          </cell>
          <cell r="E1404">
            <v>12700</v>
          </cell>
          <cell r="F1404">
            <v>83000</v>
          </cell>
          <cell r="G1404">
            <v>24800</v>
          </cell>
          <cell r="H1404">
            <v>8800</v>
          </cell>
          <cell r="I1404">
            <v>24500000</v>
          </cell>
          <cell r="J1404">
            <v>2110000</v>
          </cell>
        </row>
        <row r="1405">
          <cell r="A1405" t="str">
            <v>0070-03034-01</v>
          </cell>
          <cell r="B1405" t="str">
            <v>Copper GBIC (one per copper port on 8 port switch)</v>
          </cell>
          <cell r="C1405">
            <v>145</v>
          </cell>
          <cell r="D1405">
            <v>100</v>
          </cell>
          <cell r="E1405">
            <v>100</v>
          </cell>
          <cell r="F1405">
            <v>900</v>
          </cell>
          <cell r="G1405">
            <v>300</v>
          </cell>
          <cell r="H1405">
            <v>100</v>
          </cell>
          <cell r="I1405">
            <v>300000</v>
          </cell>
          <cell r="J1405">
            <v>20000</v>
          </cell>
        </row>
        <row r="1406">
          <cell r="A1406" t="str">
            <v>0070-03035-01</v>
          </cell>
          <cell r="B1406" t="str">
            <v>Optical GBIC (one per optical port on 8 port switch)</v>
          </cell>
          <cell r="C1406">
            <v>575</v>
          </cell>
          <cell r="D1406">
            <v>400</v>
          </cell>
          <cell r="E1406">
            <v>500</v>
          </cell>
          <cell r="F1406">
            <v>3500</v>
          </cell>
          <cell r="G1406">
            <v>1000</v>
          </cell>
          <cell r="H1406">
            <v>400</v>
          </cell>
          <cell r="I1406">
            <v>1000000</v>
          </cell>
          <cell r="J1406">
            <v>90000</v>
          </cell>
        </row>
        <row r="1407">
          <cell r="A1407" t="str">
            <v>0030-03029-01</v>
          </cell>
          <cell r="B1407" t="str">
            <v>Unity Mac Copper Client Adapter</v>
          </cell>
          <cell r="C1407">
            <v>1495</v>
          </cell>
          <cell r="D1407">
            <v>1100</v>
          </cell>
          <cell r="E1407">
            <v>1400</v>
          </cell>
          <cell r="F1407">
            <v>9000</v>
          </cell>
          <cell r="G1407">
            <v>2700</v>
          </cell>
          <cell r="H1407">
            <v>900</v>
          </cell>
          <cell r="I1407">
            <v>2700000</v>
          </cell>
          <cell r="J1407">
            <v>230000</v>
          </cell>
        </row>
        <row r="1408">
          <cell r="A1408" t="str">
            <v>0500-03049-23</v>
          </cell>
          <cell r="B1408" t="str">
            <v>Xpress NT PLUS System</v>
          </cell>
          <cell r="D1408">
            <v>0</v>
          </cell>
          <cell r="E1408">
            <v>0</v>
          </cell>
          <cell r="F1408">
            <v>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</row>
        <row r="1409">
          <cell r="A1409" t="str">
            <v>0500-01860-23</v>
          </cell>
          <cell r="B1409" t="str">
            <v>Xpress NT  DELUXE System</v>
          </cell>
          <cell r="D1409">
            <v>0</v>
          </cell>
          <cell r="E1409">
            <v>0</v>
          </cell>
          <cell r="F1409">
            <v>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</row>
        <row r="1410">
          <cell r="A1410" t="str">
            <v>0500-01861-23</v>
          </cell>
          <cell r="B1410" t="str">
            <v>Xpress NT ELITE System</v>
          </cell>
          <cell r="D1410">
            <v>0</v>
          </cell>
          <cell r="E1410">
            <v>0</v>
          </cell>
          <cell r="F1410">
            <v>0</v>
          </cell>
          <cell r="G1410">
            <v>0</v>
          </cell>
          <cell r="H1410">
            <v>0</v>
          </cell>
          <cell r="I1410">
            <v>0</v>
          </cell>
          <cell r="J1410">
            <v>0</v>
          </cell>
        </row>
        <row r="1411">
          <cell r="A1411" t="str">
            <v>0010-03436-01</v>
          </cell>
          <cell r="B1411" t="str">
            <v>Avid Cinema Softpak for Windows</v>
          </cell>
          <cell r="C1411">
            <v>139</v>
          </cell>
          <cell r="D1411">
            <v>100</v>
          </cell>
          <cell r="E1411">
            <v>130</v>
          </cell>
          <cell r="F1411">
            <v>840</v>
          </cell>
          <cell r="G1411">
            <v>250</v>
          </cell>
          <cell r="H1411">
            <v>90</v>
          </cell>
          <cell r="I1411">
            <v>247000</v>
          </cell>
          <cell r="J1411">
            <v>21200</v>
          </cell>
        </row>
        <row r="1412">
          <cell r="A1412" t="str">
            <v>0010-03534-01</v>
          </cell>
          <cell r="B1412" t="str">
            <v>SUB Fibre Channel Engine XPNT Plus</v>
          </cell>
          <cell r="C1412">
            <v>0</v>
          </cell>
          <cell r="D1412">
            <v>0</v>
          </cell>
          <cell r="E1412">
            <v>0</v>
          </cell>
          <cell r="F1412">
            <v>0</v>
          </cell>
          <cell r="G1412">
            <v>0</v>
          </cell>
          <cell r="H1412">
            <v>0</v>
          </cell>
          <cell r="I1412">
            <v>0</v>
          </cell>
          <cell r="J1412">
            <v>0</v>
          </cell>
        </row>
        <row r="1413">
          <cell r="A1413" t="str">
            <v>0010-03532-01</v>
          </cell>
          <cell r="B1413" t="str">
            <v>SUB Fibre Channel Engine XPNT DELUX</v>
          </cell>
          <cell r="C1413">
            <v>0</v>
          </cell>
          <cell r="D1413">
            <v>0</v>
          </cell>
          <cell r="E1413">
            <v>0</v>
          </cell>
          <cell r="F1413">
            <v>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</row>
        <row r="1414">
          <cell r="A1414" t="str">
            <v>0010-03530-01</v>
          </cell>
          <cell r="B1414" t="str">
            <v>SUB Fibre Channel Engine XPNT ELITE</v>
          </cell>
          <cell r="C1414">
            <v>0</v>
          </cell>
          <cell r="D1414">
            <v>0</v>
          </cell>
          <cell r="E1414">
            <v>0</v>
          </cell>
          <cell r="F1414">
            <v>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</row>
        <row r="1415">
          <cell r="A1415" t="str">
            <v>0510-03185-21</v>
          </cell>
          <cell r="B1415" t="str">
            <v>UPG NUBUS MC400/800 - MC NT Offline XL w/FC</v>
          </cell>
          <cell r="C1415">
            <v>37495</v>
          </cell>
          <cell r="D1415">
            <v>28100</v>
          </cell>
          <cell r="E1415">
            <v>34400</v>
          </cell>
          <cell r="F1415">
            <v>225400</v>
          </cell>
          <cell r="G1415">
            <v>67200</v>
          </cell>
          <cell r="H1415">
            <v>23800</v>
          </cell>
          <cell r="I1415">
            <v>66500000</v>
          </cell>
          <cell r="J1415">
            <v>5720000</v>
          </cell>
        </row>
        <row r="1416">
          <cell r="A1416" t="str">
            <v>0510-03186-21</v>
          </cell>
          <cell r="B1416" t="str">
            <v>UPG NUBUS MC400/800 - MC NT Offline XL w/LVD</v>
          </cell>
          <cell r="C1416">
            <v>37495</v>
          </cell>
          <cell r="D1416">
            <v>28100</v>
          </cell>
          <cell r="E1416">
            <v>34400</v>
          </cell>
          <cell r="F1416">
            <v>225400</v>
          </cell>
          <cell r="G1416">
            <v>67200</v>
          </cell>
          <cell r="H1416">
            <v>23800</v>
          </cell>
          <cell r="I1416">
            <v>66500000</v>
          </cell>
          <cell r="J1416">
            <v>5720000</v>
          </cell>
        </row>
        <row r="1417">
          <cell r="A1417" t="str">
            <v>0510-03187-21</v>
          </cell>
          <cell r="B1417" t="str">
            <v>UPG NUBUS MC400/800 - MC NT 1000 XL w/FC</v>
          </cell>
          <cell r="C1417">
            <v>44995</v>
          </cell>
          <cell r="D1417">
            <v>33700</v>
          </cell>
          <cell r="E1417">
            <v>41200</v>
          </cell>
          <cell r="F1417">
            <v>270400</v>
          </cell>
          <cell r="G1417">
            <v>80600</v>
          </cell>
          <cell r="H1417">
            <v>28500</v>
          </cell>
          <cell r="I1417">
            <v>79800000</v>
          </cell>
          <cell r="J1417">
            <v>6860000</v>
          </cell>
        </row>
        <row r="1418">
          <cell r="A1418" t="str">
            <v>0510-03174-01</v>
          </cell>
          <cell r="B1418" t="str">
            <v>UPG ABVB XP Mac - XP NT Plus</v>
          </cell>
          <cell r="D1418">
            <v>0</v>
          </cell>
          <cell r="E1418">
            <v>0</v>
          </cell>
          <cell r="F1418">
            <v>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</row>
        <row r="1419">
          <cell r="A1419" t="str">
            <v>0510-03175-01</v>
          </cell>
          <cell r="B1419" t="str">
            <v>UPG ABVB XP Mac - XP NT Deluxe</v>
          </cell>
          <cell r="D1419">
            <v>0</v>
          </cell>
          <cell r="E1419">
            <v>0</v>
          </cell>
          <cell r="F1419">
            <v>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</row>
        <row r="1420">
          <cell r="A1420" t="str">
            <v>0510-03176-01</v>
          </cell>
          <cell r="B1420" t="str">
            <v>UPG ABVB XP Mac - XP NT Elite</v>
          </cell>
          <cell r="D1420">
            <v>0</v>
          </cell>
          <cell r="E1420">
            <v>0</v>
          </cell>
          <cell r="F1420">
            <v>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</row>
        <row r="1421">
          <cell r="A1421" t="str">
            <v>0510-03188-21</v>
          </cell>
          <cell r="B1421" t="str">
            <v>UPG NUBUS MC 400/800 - MC NT 1000 XL w/LVD</v>
          </cell>
          <cell r="C1421">
            <v>44995</v>
          </cell>
          <cell r="D1421">
            <v>33700</v>
          </cell>
          <cell r="E1421">
            <v>41200</v>
          </cell>
          <cell r="F1421">
            <v>270400</v>
          </cell>
          <cell r="G1421">
            <v>80600</v>
          </cell>
          <cell r="H1421">
            <v>28500</v>
          </cell>
          <cell r="I1421">
            <v>79800000</v>
          </cell>
          <cell r="J1421">
            <v>6860000</v>
          </cell>
        </row>
        <row r="1422">
          <cell r="A1422" t="str">
            <v>0510-03189-21</v>
          </cell>
          <cell r="B1422" t="str">
            <v>UPG NUBUS MC 900/Offline - MC NT 1000 XL w/FC</v>
          </cell>
          <cell r="C1422">
            <v>39995</v>
          </cell>
          <cell r="D1422">
            <v>30000</v>
          </cell>
          <cell r="E1422">
            <v>36600</v>
          </cell>
          <cell r="F1422">
            <v>240400</v>
          </cell>
          <cell r="G1422">
            <v>71700</v>
          </cell>
          <cell r="H1422">
            <v>25300</v>
          </cell>
          <cell r="I1422">
            <v>71000000</v>
          </cell>
          <cell r="J1422">
            <v>6100000</v>
          </cell>
        </row>
        <row r="1423">
          <cell r="A1423" t="str">
            <v>0510-03190-21</v>
          </cell>
          <cell r="B1423" t="str">
            <v>UPG NUBUS MC 900/Offline - MC NT 1000 XL w/LVD</v>
          </cell>
          <cell r="C1423">
            <v>39995</v>
          </cell>
          <cell r="D1423">
            <v>30000</v>
          </cell>
          <cell r="E1423">
            <v>36600</v>
          </cell>
          <cell r="F1423">
            <v>240400</v>
          </cell>
          <cell r="G1423">
            <v>71700</v>
          </cell>
          <cell r="H1423">
            <v>25300</v>
          </cell>
          <cell r="I1423">
            <v>71000000</v>
          </cell>
          <cell r="J1423">
            <v>6100000</v>
          </cell>
        </row>
        <row r="1424">
          <cell r="A1424" t="str">
            <v>0510-03191-21</v>
          </cell>
          <cell r="B1424" t="str">
            <v>UPG NUBUS MC Offline w/Film - MC NT 1000 XL w/FC/UO</v>
          </cell>
          <cell r="C1424">
            <v>39995</v>
          </cell>
          <cell r="D1424">
            <v>30000</v>
          </cell>
          <cell r="E1424">
            <v>36600</v>
          </cell>
          <cell r="F1424">
            <v>240400</v>
          </cell>
          <cell r="G1424">
            <v>71700</v>
          </cell>
          <cell r="H1424">
            <v>25300</v>
          </cell>
          <cell r="I1424">
            <v>71000000</v>
          </cell>
          <cell r="J1424">
            <v>6100000</v>
          </cell>
        </row>
        <row r="1425">
          <cell r="A1425" t="str">
            <v>0510-03192-21</v>
          </cell>
          <cell r="B1425" t="str">
            <v>UPG NUBUS MC Offline w/Film - MC NT 1000 XL w/LVD/UO</v>
          </cell>
          <cell r="C1425">
            <v>39995</v>
          </cell>
          <cell r="D1425">
            <v>30000</v>
          </cell>
          <cell r="E1425">
            <v>36600</v>
          </cell>
          <cell r="F1425">
            <v>240400</v>
          </cell>
          <cell r="G1425">
            <v>71700</v>
          </cell>
          <cell r="H1425">
            <v>25300</v>
          </cell>
          <cell r="I1425">
            <v>71000000</v>
          </cell>
          <cell r="J1425">
            <v>6100000</v>
          </cell>
        </row>
        <row r="1426">
          <cell r="A1426" t="str">
            <v>0510-03193-21</v>
          </cell>
          <cell r="B1426" t="str">
            <v>UPG NUBUS MCO/1K/4K 2D w/Film - FCXL NT w/FC</v>
          </cell>
          <cell r="C1426">
            <v>39995</v>
          </cell>
          <cell r="D1426">
            <v>30000</v>
          </cell>
          <cell r="E1426">
            <v>36600</v>
          </cell>
          <cell r="F1426">
            <v>240400</v>
          </cell>
          <cell r="G1426">
            <v>71700</v>
          </cell>
          <cell r="H1426">
            <v>25300</v>
          </cell>
          <cell r="I1426">
            <v>71000000</v>
          </cell>
          <cell r="J1426">
            <v>6100000</v>
          </cell>
        </row>
        <row r="1427">
          <cell r="A1427" t="str">
            <v>0510-03194-21</v>
          </cell>
          <cell r="B1427" t="str">
            <v>UPG NUBUS MCO/1K/4K 2D w/Film - FCXL NT w/LVD</v>
          </cell>
          <cell r="C1427">
            <v>39995</v>
          </cell>
          <cell r="D1427">
            <v>30000</v>
          </cell>
          <cell r="E1427">
            <v>36600</v>
          </cell>
          <cell r="F1427">
            <v>240400</v>
          </cell>
          <cell r="G1427">
            <v>71700</v>
          </cell>
          <cell r="H1427">
            <v>25300</v>
          </cell>
          <cell r="I1427">
            <v>71000000</v>
          </cell>
          <cell r="J1427">
            <v>6100000</v>
          </cell>
        </row>
        <row r="1428">
          <cell r="A1428" t="str">
            <v>0510-03195-21</v>
          </cell>
          <cell r="B1428" t="str">
            <v>UPG NUBUS MC1K/4K 2D - MC1000XL NT w/FC/1:1</v>
          </cell>
          <cell r="C1428">
            <v>39995</v>
          </cell>
          <cell r="D1428">
            <v>30000</v>
          </cell>
          <cell r="E1428">
            <v>36600</v>
          </cell>
          <cell r="F1428">
            <v>240400</v>
          </cell>
          <cell r="G1428">
            <v>71700</v>
          </cell>
          <cell r="H1428">
            <v>25300</v>
          </cell>
          <cell r="I1428">
            <v>71000000</v>
          </cell>
          <cell r="J1428">
            <v>6100000</v>
          </cell>
        </row>
        <row r="1429">
          <cell r="A1429" t="str">
            <v>0510-03196-21</v>
          </cell>
          <cell r="B1429" t="str">
            <v>UPG NUBUS MC1K/4K 2D - MC1000XL NT w/LVD/1:1</v>
          </cell>
          <cell r="C1429">
            <v>39995</v>
          </cell>
          <cell r="D1429">
            <v>30000</v>
          </cell>
          <cell r="E1429">
            <v>36600</v>
          </cell>
          <cell r="F1429">
            <v>240400</v>
          </cell>
          <cell r="G1429">
            <v>71700</v>
          </cell>
          <cell r="H1429">
            <v>25300</v>
          </cell>
          <cell r="I1429">
            <v>71000000</v>
          </cell>
          <cell r="J1429">
            <v>6100000</v>
          </cell>
        </row>
        <row r="1430">
          <cell r="A1430" t="str">
            <v>0510-03197-21</v>
          </cell>
          <cell r="B1430" t="str">
            <v>UPG NUBUS MC1K/4K/8K 2D w/Film - MC1000XL NT w/FC/1:1/UO</v>
          </cell>
          <cell r="C1430">
            <v>39995</v>
          </cell>
          <cell r="D1430">
            <v>30000</v>
          </cell>
          <cell r="E1430">
            <v>36600</v>
          </cell>
          <cell r="F1430">
            <v>240400</v>
          </cell>
          <cell r="G1430">
            <v>71700</v>
          </cell>
          <cell r="H1430">
            <v>25300</v>
          </cell>
          <cell r="I1430">
            <v>71000000</v>
          </cell>
          <cell r="J1430">
            <v>6100000</v>
          </cell>
        </row>
        <row r="1431">
          <cell r="A1431" t="str">
            <v>0510-03198-21</v>
          </cell>
          <cell r="B1431" t="str">
            <v>UPG NUBUS MC1K/4K/8K 2D w/Film - MC1000XL NT w/LVD/1:1/UO</v>
          </cell>
          <cell r="C1431">
            <v>39995</v>
          </cell>
          <cell r="D1431">
            <v>30000</v>
          </cell>
          <cell r="E1431">
            <v>36600</v>
          </cell>
          <cell r="F1431">
            <v>240400</v>
          </cell>
          <cell r="G1431">
            <v>71700</v>
          </cell>
          <cell r="H1431">
            <v>25300</v>
          </cell>
          <cell r="I1431">
            <v>71000000</v>
          </cell>
          <cell r="J1431">
            <v>6100000</v>
          </cell>
        </row>
        <row r="1432">
          <cell r="A1432" t="str">
            <v>0510-03199-21</v>
          </cell>
          <cell r="B1432" t="str">
            <v>UPG NUBUS MC1K/4K 3D - MC1000XL NT w/FC/1:1/FX</v>
          </cell>
          <cell r="C1432">
            <v>39995</v>
          </cell>
          <cell r="D1432">
            <v>30000</v>
          </cell>
          <cell r="E1432">
            <v>36600</v>
          </cell>
          <cell r="F1432">
            <v>240400</v>
          </cell>
          <cell r="G1432">
            <v>71700</v>
          </cell>
          <cell r="H1432">
            <v>25300</v>
          </cell>
          <cell r="I1432">
            <v>71000000</v>
          </cell>
          <cell r="J1432">
            <v>6100000</v>
          </cell>
        </row>
        <row r="1433">
          <cell r="A1433" t="str">
            <v>0510-03200-21</v>
          </cell>
          <cell r="B1433" t="str">
            <v>UPG NUBUS MC1K/4K 3D - MC1000XL NT w/LVD/1:1/FX</v>
          </cell>
          <cell r="C1433">
            <v>39995</v>
          </cell>
          <cell r="D1433">
            <v>30000</v>
          </cell>
          <cell r="E1433">
            <v>36600</v>
          </cell>
          <cell r="F1433">
            <v>240400</v>
          </cell>
          <cell r="G1433">
            <v>71700</v>
          </cell>
          <cell r="H1433">
            <v>25300</v>
          </cell>
          <cell r="I1433">
            <v>71000000</v>
          </cell>
          <cell r="J1433">
            <v>6100000</v>
          </cell>
        </row>
        <row r="1434">
          <cell r="A1434" t="str">
            <v>0510-03201-21</v>
          </cell>
          <cell r="B1434" t="str">
            <v>UPG NUBUS MC1K/4K/8K/9K w/Film - MC1000XL NT w/FC/1:1/FX/UO</v>
          </cell>
          <cell r="C1434">
            <v>39995</v>
          </cell>
          <cell r="D1434">
            <v>30000</v>
          </cell>
          <cell r="E1434">
            <v>36600</v>
          </cell>
          <cell r="F1434">
            <v>240400</v>
          </cell>
          <cell r="G1434">
            <v>71700</v>
          </cell>
          <cell r="H1434">
            <v>25300</v>
          </cell>
          <cell r="I1434">
            <v>71000000</v>
          </cell>
          <cell r="J1434">
            <v>6100000</v>
          </cell>
        </row>
        <row r="1435">
          <cell r="A1435" t="str">
            <v>0510-03201-21</v>
          </cell>
          <cell r="B1435" t="str">
            <v>UPG NUBUS MC1K/4K/8K/9K w/Film - MC1000XL NT w/LVD/1:1/FX/UO</v>
          </cell>
          <cell r="C1435">
            <v>39995</v>
          </cell>
          <cell r="D1435">
            <v>30000</v>
          </cell>
          <cell r="E1435">
            <v>36600</v>
          </cell>
          <cell r="F1435">
            <v>240400</v>
          </cell>
          <cell r="G1435">
            <v>71700</v>
          </cell>
          <cell r="H1435">
            <v>25300</v>
          </cell>
          <cell r="I1435">
            <v>71000000</v>
          </cell>
          <cell r="J1435">
            <v>6100000</v>
          </cell>
        </row>
        <row r="1436">
          <cell r="B1436" t="str">
            <v xml:space="preserve">NRCS System Admin (291) at AvStar </v>
          </cell>
          <cell r="C1436">
            <v>2125</v>
          </cell>
          <cell r="D1436">
            <v>1600</v>
          </cell>
          <cell r="E1436">
            <v>1900</v>
          </cell>
          <cell r="F1436">
            <v>13100</v>
          </cell>
          <cell r="G1436">
            <v>3900</v>
          </cell>
          <cell r="H1436">
            <v>1300</v>
          </cell>
          <cell r="I1436">
            <v>3800000</v>
          </cell>
          <cell r="J1436">
            <v>330000</v>
          </cell>
        </row>
        <row r="1437">
          <cell r="A1437" t="str">
            <v>0530-00013-01</v>
          </cell>
          <cell r="B1437" t="str">
            <v>On-Site Installation, Daily</v>
          </cell>
          <cell r="C1437">
            <v>1600</v>
          </cell>
          <cell r="D1437">
            <v>1200</v>
          </cell>
          <cell r="E1437">
            <v>1500</v>
          </cell>
          <cell r="F1437">
            <v>9900</v>
          </cell>
          <cell r="G1437">
            <v>3000</v>
          </cell>
          <cell r="H1437">
            <v>1000</v>
          </cell>
          <cell r="I1437">
            <v>2900000</v>
          </cell>
          <cell r="J1437">
            <v>250000</v>
          </cell>
        </row>
        <row r="1438">
          <cell r="A1438" t="str">
            <v>0020-03078-01</v>
          </cell>
          <cell r="B1438" t="str">
            <v>Media Dock iS36 LVD</v>
          </cell>
          <cell r="C1438">
            <v>3040</v>
          </cell>
          <cell r="D1438">
            <v>2300</v>
          </cell>
          <cell r="E1438">
            <v>2800</v>
          </cell>
          <cell r="F1438">
            <v>18300</v>
          </cell>
          <cell r="G1438">
            <v>5400</v>
          </cell>
          <cell r="H1438">
            <v>1900</v>
          </cell>
          <cell r="I1438">
            <v>5400000</v>
          </cell>
          <cell r="J1438">
            <v>460000</v>
          </cell>
        </row>
        <row r="1439">
          <cell r="A1439" t="str">
            <v>0505-00010-01</v>
          </cell>
          <cell r="B1439" t="str">
            <v>UPG, SW MC 7.2 Offline</v>
          </cell>
          <cell r="C1439">
            <v>2000</v>
          </cell>
          <cell r="D1439">
            <v>1500</v>
          </cell>
          <cell r="E1439">
            <v>1800</v>
          </cell>
          <cell r="F1439">
            <v>12000</v>
          </cell>
          <cell r="G1439">
            <v>3600</v>
          </cell>
          <cell r="H1439">
            <v>1300</v>
          </cell>
          <cell r="I1439">
            <v>3500000</v>
          </cell>
          <cell r="J1439">
            <v>300000</v>
          </cell>
        </row>
        <row r="1440">
          <cell r="A1440" t="str">
            <v>0505-00011-01</v>
          </cell>
          <cell r="B1440" t="str">
            <v>UPG, SW MC 7.2 Media Station</v>
          </cell>
          <cell r="C1440">
            <v>2000</v>
          </cell>
          <cell r="D1440">
            <v>1500</v>
          </cell>
          <cell r="E1440">
            <v>1800</v>
          </cell>
          <cell r="F1440">
            <v>12000</v>
          </cell>
          <cell r="G1440">
            <v>3600</v>
          </cell>
          <cell r="H1440">
            <v>1300</v>
          </cell>
          <cell r="I1440">
            <v>3500000</v>
          </cell>
          <cell r="J1440">
            <v>300000</v>
          </cell>
        </row>
        <row r="1441">
          <cell r="A1441" t="str">
            <v>0505-00009-01</v>
          </cell>
          <cell r="B1441" t="str">
            <v>UPG, SW MC 7.2 Film Composer</v>
          </cell>
          <cell r="C1441">
            <v>3500</v>
          </cell>
          <cell r="D1441">
            <v>2600</v>
          </cell>
          <cell r="E1441">
            <v>3200</v>
          </cell>
          <cell r="F1441">
            <v>21000</v>
          </cell>
          <cell r="G1441">
            <v>6300</v>
          </cell>
          <cell r="H1441">
            <v>2200</v>
          </cell>
          <cell r="I1441">
            <v>6200000</v>
          </cell>
          <cell r="J1441">
            <v>530000</v>
          </cell>
        </row>
        <row r="1442">
          <cell r="A1442" t="str">
            <v>0505-00008-01</v>
          </cell>
          <cell r="B1442" t="str">
            <v>UPG, SW MC 7.2 MC 900</v>
          </cell>
          <cell r="C1442">
            <v>2000</v>
          </cell>
          <cell r="D1442">
            <v>1500</v>
          </cell>
          <cell r="E1442">
            <v>1800</v>
          </cell>
          <cell r="F1442">
            <v>12000</v>
          </cell>
          <cell r="G1442">
            <v>3600</v>
          </cell>
          <cell r="H1442">
            <v>1300</v>
          </cell>
          <cell r="I1442">
            <v>3500000</v>
          </cell>
          <cell r="J1442">
            <v>300000</v>
          </cell>
        </row>
        <row r="1443">
          <cell r="A1443" t="str">
            <v>0505-00007-01</v>
          </cell>
          <cell r="B1443" t="str">
            <v>UPG, SW MC 7.2 MC 1000</v>
          </cell>
          <cell r="C1443">
            <v>3000</v>
          </cell>
          <cell r="D1443">
            <v>2300</v>
          </cell>
          <cell r="E1443">
            <v>2700</v>
          </cell>
          <cell r="F1443">
            <v>18000</v>
          </cell>
          <cell r="G1443">
            <v>5400</v>
          </cell>
          <cell r="H1443">
            <v>1900</v>
          </cell>
          <cell r="I1443">
            <v>5300000</v>
          </cell>
          <cell r="J1443">
            <v>460000</v>
          </cell>
        </row>
        <row r="1444">
          <cell r="A1444" t="str">
            <v>0505-00006-01</v>
          </cell>
          <cell r="B1444" t="str">
            <v>UPG, SW MC 7.2 MC 4000</v>
          </cell>
          <cell r="C1444">
            <v>3750</v>
          </cell>
          <cell r="D1444">
            <v>2800</v>
          </cell>
          <cell r="E1444">
            <v>3400</v>
          </cell>
          <cell r="F1444">
            <v>22500</v>
          </cell>
          <cell r="G1444">
            <v>6700</v>
          </cell>
          <cell r="H1444">
            <v>2400</v>
          </cell>
          <cell r="I1444">
            <v>6700000</v>
          </cell>
          <cell r="J1444">
            <v>570000</v>
          </cell>
        </row>
        <row r="1445">
          <cell r="A1445" t="str">
            <v>0505-00005-01</v>
          </cell>
          <cell r="B1445" t="str">
            <v>UPG, SW MC 7.2 MC 8000</v>
          </cell>
          <cell r="C1445">
            <v>4995</v>
          </cell>
          <cell r="D1445">
            <v>3700</v>
          </cell>
          <cell r="E1445">
            <v>4600</v>
          </cell>
          <cell r="F1445">
            <v>30000</v>
          </cell>
          <cell r="G1445">
            <v>9000</v>
          </cell>
          <cell r="H1445">
            <v>3200</v>
          </cell>
          <cell r="I1445">
            <v>8900000</v>
          </cell>
          <cell r="J1445">
            <v>760000</v>
          </cell>
        </row>
        <row r="1446">
          <cell r="B1446" t="str">
            <v>LVD 68pin HD to 68pin HD LVD 15 inch</v>
          </cell>
          <cell r="C1446">
            <v>51</v>
          </cell>
          <cell r="D1446">
            <v>40</v>
          </cell>
          <cell r="E1446">
            <v>50</v>
          </cell>
          <cell r="F1446">
            <v>310</v>
          </cell>
          <cell r="G1446">
            <v>90</v>
          </cell>
          <cell r="H1446">
            <v>30</v>
          </cell>
          <cell r="I1446">
            <v>90000</v>
          </cell>
          <cell r="J1446">
            <v>7800</v>
          </cell>
        </row>
        <row r="1447">
          <cell r="A1447" t="str">
            <v>0070-00506-01</v>
          </cell>
          <cell r="B1447" t="str">
            <v>VTR Emulation cable NT</v>
          </cell>
          <cell r="C1447">
            <v>120</v>
          </cell>
          <cell r="D1447">
            <v>90</v>
          </cell>
          <cell r="E1447">
            <v>110</v>
          </cell>
          <cell r="F1447">
            <v>720</v>
          </cell>
          <cell r="G1447">
            <v>220</v>
          </cell>
          <cell r="H1447">
            <v>80</v>
          </cell>
          <cell r="I1447">
            <v>213000</v>
          </cell>
          <cell r="J1447">
            <v>18300</v>
          </cell>
        </row>
        <row r="1448">
          <cell r="B1448" t="str">
            <v>MNT, Assur Plus NewsCutter Mac  EHW, 7*24</v>
          </cell>
          <cell r="D1448">
            <v>0</v>
          </cell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</row>
        <row r="1449">
          <cell r="B1449" t="str">
            <v>MNT, Assur NewsCutter Effects DV  7*24</v>
          </cell>
          <cell r="D1449">
            <v>0</v>
          </cell>
          <cell r="E1449">
            <v>0</v>
          </cell>
          <cell r="F1449">
            <v>0</v>
          </cell>
          <cell r="G1449">
            <v>0</v>
          </cell>
          <cell r="H1449">
            <v>0</v>
          </cell>
          <cell r="I1449">
            <v>0</v>
          </cell>
          <cell r="J1449">
            <v>0</v>
          </cell>
        </row>
        <row r="1450">
          <cell r="B1450" t="str">
            <v>MNT, Assur Plus NewsCut Effects DV EHW, 7*24</v>
          </cell>
          <cell r="D1450">
            <v>0</v>
          </cell>
          <cell r="E1450">
            <v>0</v>
          </cell>
          <cell r="F1450">
            <v>0</v>
          </cell>
          <cell r="G1450">
            <v>0</v>
          </cell>
          <cell r="H1450">
            <v>0</v>
          </cell>
          <cell r="I1450">
            <v>0</v>
          </cell>
          <cell r="J1450">
            <v>0</v>
          </cell>
        </row>
        <row r="1451">
          <cell r="B1451" t="str">
            <v>MNT, Assur NewsCutter Cuts DV 7*24</v>
          </cell>
          <cell r="D1451">
            <v>0</v>
          </cell>
          <cell r="E1451">
            <v>0</v>
          </cell>
          <cell r="F1451">
            <v>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</row>
        <row r="1452">
          <cell r="B1452" t="str">
            <v>MNT, Assur Plus NewsCut Cuts DV EHW, 7*24</v>
          </cell>
          <cell r="D1452">
            <v>0</v>
          </cell>
          <cell r="E1452">
            <v>0</v>
          </cell>
          <cell r="F1452">
            <v>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</row>
        <row r="1453">
          <cell r="B1453" t="str">
            <v>MNT, Assurance Airplay  7*24</v>
          </cell>
          <cell r="D1453">
            <v>0</v>
          </cell>
          <cell r="E1453">
            <v>0</v>
          </cell>
          <cell r="F1453">
            <v>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</row>
        <row r="1454">
          <cell r="B1454" t="str">
            <v>MNT, Assurance Plus Airplay EHW, 7*24</v>
          </cell>
          <cell r="D1454">
            <v>0</v>
          </cell>
          <cell r="E1454">
            <v>0</v>
          </cell>
          <cell r="F1454">
            <v>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</row>
        <row r="1455">
          <cell r="B1455" t="str">
            <v>Description</v>
          </cell>
          <cell r="C1455" t="str">
            <v>$ List</v>
          </cell>
          <cell r="D1455">
            <v>0</v>
          </cell>
          <cell r="E1455">
            <v>0</v>
          </cell>
          <cell r="F1455">
            <v>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</row>
        <row r="1456">
          <cell r="B1456" t="str">
            <v>MNT, Assurance Symphony, NT Meridien</v>
          </cell>
          <cell r="C1456">
            <v>6300</v>
          </cell>
          <cell r="D1456">
            <v>4700</v>
          </cell>
          <cell r="E1456">
            <v>5800</v>
          </cell>
          <cell r="F1456">
            <v>37900</v>
          </cell>
          <cell r="G1456">
            <v>11300</v>
          </cell>
          <cell r="H1456">
            <v>4000</v>
          </cell>
          <cell r="I1456">
            <v>11200000</v>
          </cell>
          <cell r="J1456">
            <v>960000</v>
          </cell>
        </row>
        <row r="1457">
          <cell r="B1457" t="str">
            <v>MNT, Assurance Symphony, NT Meridien 7*24</v>
          </cell>
          <cell r="C1457">
            <v>7300</v>
          </cell>
          <cell r="D1457">
            <v>5500</v>
          </cell>
          <cell r="E1457">
            <v>6700</v>
          </cell>
          <cell r="F1457">
            <v>43900</v>
          </cell>
          <cell r="G1457">
            <v>13100</v>
          </cell>
          <cell r="H1457">
            <v>4600</v>
          </cell>
          <cell r="I1457">
            <v>13000000</v>
          </cell>
          <cell r="J1457">
            <v>1110000</v>
          </cell>
        </row>
        <row r="1458">
          <cell r="B1458" t="str">
            <v>MNT, Assurance Symphony Univ, NT Meridien</v>
          </cell>
          <cell r="C1458">
            <v>6824</v>
          </cell>
          <cell r="D1458">
            <v>5100</v>
          </cell>
          <cell r="E1458">
            <v>6300</v>
          </cell>
          <cell r="F1458">
            <v>41000</v>
          </cell>
          <cell r="G1458">
            <v>12200</v>
          </cell>
          <cell r="H1458">
            <v>4300</v>
          </cell>
          <cell r="I1458">
            <v>12100000</v>
          </cell>
          <cell r="J1458">
            <v>1040000</v>
          </cell>
        </row>
        <row r="1459">
          <cell r="B1459" t="str">
            <v>MNT, Assurance Symphony Univ, NT Meridien 7*24</v>
          </cell>
          <cell r="C1459">
            <v>7824</v>
          </cell>
          <cell r="D1459">
            <v>5900</v>
          </cell>
          <cell r="E1459">
            <v>7200</v>
          </cell>
          <cell r="F1459">
            <v>47000</v>
          </cell>
          <cell r="G1459">
            <v>14000</v>
          </cell>
          <cell r="H1459">
            <v>5000</v>
          </cell>
          <cell r="I1459">
            <v>13900000</v>
          </cell>
          <cell r="J1459">
            <v>1190000</v>
          </cell>
        </row>
        <row r="1460">
          <cell r="B1460" t="str">
            <v xml:space="preserve">MNT, Assurance Softimage| DS, </v>
          </cell>
          <cell r="C1460">
            <v>5775</v>
          </cell>
          <cell r="D1460">
            <v>4300</v>
          </cell>
          <cell r="E1460">
            <v>5300</v>
          </cell>
          <cell r="F1460">
            <v>34700</v>
          </cell>
          <cell r="G1460">
            <v>10300</v>
          </cell>
          <cell r="H1460">
            <v>3700</v>
          </cell>
          <cell r="I1460">
            <v>10200000</v>
          </cell>
          <cell r="J1460">
            <v>880000</v>
          </cell>
        </row>
        <row r="1461">
          <cell r="B1461" t="str">
            <v>MNT, Assurance 9000 MacABVB 3D</v>
          </cell>
          <cell r="C1461">
            <v>3239</v>
          </cell>
          <cell r="D1461">
            <v>2400</v>
          </cell>
          <cell r="E1461">
            <v>3000</v>
          </cell>
          <cell r="F1461">
            <v>19500</v>
          </cell>
          <cell r="G1461">
            <v>5800</v>
          </cell>
          <cell r="H1461">
            <v>2100</v>
          </cell>
          <cell r="I1461">
            <v>5700000</v>
          </cell>
          <cell r="J1461">
            <v>490000</v>
          </cell>
        </row>
        <row r="1462">
          <cell r="B1462" t="str">
            <v>MNT, Assurance 9000 MacABVB  3D 7*24</v>
          </cell>
          <cell r="C1462">
            <v>4239</v>
          </cell>
          <cell r="D1462">
            <v>3200</v>
          </cell>
          <cell r="E1462">
            <v>3900</v>
          </cell>
          <cell r="F1462">
            <v>25500</v>
          </cell>
          <cell r="G1462">
            <v>7600</v>
          </cell>
          <cell r="H1462">
            <v>2700</v>
          </cell>
          <cell r="I1462">
            <v>7500000</v>
          </cell>
          <cell r="J1462">
            <v>650000</v>
          </cell>
        </row>
        <row r="1463">
          <cell r="B1463" t="str">
            <v>MNT, Assurance MC1000 MacABVB</v>
          </cell>
          <cell r="C1463">
            <v>2639</v>
          </cell>
          <cell r="D1463">
            <v>2000</v>
          </cell>
          <cell r="E1463">
            <v>2400</v>
          </cell>
          <cell r="F1463">
            <v>15900</v>
          </cell>
          <cell r="G1463">
            <v>4700</v>
          </cell>
          <cell r="H1463">
            <v>1700</v>
          </cell>
          <cell r="I1463">
            <v>4700000</v>
          </cell>
          <cell r="J1463">
            <v>400000</v>
          </cell>
        </row>
        <row r="1464">
          <cell r="B1464" t="str">
            <v>MNT, Assurance MC1000 MacABVB 7*24</v>
          </cell>
          <cell r="C1464">
            <v>3639</v>
          </cell>
          <cell r="D1464">
            <v>2700</v>
          </cell>
          <cell r="E1464">
            <v>3300</v>
          </cell>
          <cell r="F1464">
            <v>21900</v>
          </cell>
          <cell r="G1464">
            <v>6500</v>
          </cell>
          <cell r="H1464">
            <v>2300</v>
          </cell>
          <cell r="I1464">
            <v>6500000</v>
          </cell>
          <cell r="J1464">
            <v>550000</v>
          </cell>
        </row>
        <row r="1465">
          <cell r="B1465" t="str">
            <v>MNT, Assurance FilmComposer MacABVB</v>
          </cell>
          <cell r="C1465">
            <v>2639</v>
          </cell>
          <cell r="D1465">
            <v>2000</v>
          </cell>
          <cell r="E1465">
            <v>2400</v>
          </cell>
          <cell r="F1465">
            <v>15900</v>
          </cell>
          <cell r="G1465">
            <v>4700</v>
          </cell>
          <cell r="H1465">
            <v>1700</v>
          </cell>
          <cell r="I1465">
            <v>4700000</v>
          </cell>
          <cell r="J1465">
            <v>400000</v>
          </cell>
        </row>
        <row r="1466">
          <cell r="B1466" t="str">
            <v>MNT, Assurance FilmComposer MacABVB 7*24</v>
          </cell>
          <cell r="C1466">
            <v>3639</v>
          </cell>
          <cell r="D1466">
            <v>2700</v>
          </cell>
          <cell r="E1466">
            <v>3300</v>
          </cell>
          <cell r="F1466">
            <v>21900</v>
          </cell>
          <cell r="G1466">
            <v>6500</v>
          </cell>
          <cell r="H1466">
            <v>2300</v>
          </cell>
          <cell r="I1466">
            <v>6500000</v>
          </cell>
          <cell r="J1466">
            <v>550000</v>
          </cell>
        </row>
        <row r="1467">
          <cell r="B1467" t="str">
            <v>MNT, Assurance Offline MacABVB</v>
          </cell>
          <cell r="C1467">
            <v>2639</v>
          </cell>
          <cell r="D1467">
            <v>2000</v>
          </cell>
          <cell r="E1467">
            <v>2400</v>
          </cell>
          <cell r="F1467">
            <v>15900</v>
          </cell>
          <cell r="G1467">
            <v>4700</v>
          </cell>
          <cell r="H1467">
            <v>1700</v>
          </cell>
          <cell r="I1467">
            <v>4700000</v>
          </cell>
          <cell r="J1467">
            <v>400000</v>
          </cell>
        </row>
        <row r="1468">
          <cell r="B1468" t="str">
            <v>MNT, Assurance Offline MAcABVB 7*24</v>
          </cell>
          <cell r="C1468">
            <v>3639</v>
          </cell>
          <cell r="D1468">
            <v>2700</v>
          </cell>
          <cell r="E1468">
            <v>3300</v>
          </cell>
          <cell r="F1468">
            <v>21900</v>
          </cell>
          <cell r="G1468">
            <v>6500</v>
          </cell>
          <cell r="H1468">
            <v>2300</v>
          </cell>
          <cell r="I1468">
            <v>6500000</v>
          </cell>
          <cell r="J1468">
            <v>550000</v>
          </cell>
        </row>
        <row r="1469">
          <cell r="B1469" t="str">
            <v>MNT, Assurance Media Station MacABVB</v>
          </cell>
          <cell r="C1469">
            <v>1794</v>
          </cell>
          <cell r="D1469">
            <v>1300</v>
          </cell>
          <cell r="E1469">
            <v>1600</v>
          </cell>
          <cell r="F1469">
            <v>10800</v>
          </cell>
          <cell r="G1469">
            <v>3200</v>
          </cell>
          <cell r="H1469">
            <v>1100</v>
          </cell>
          <cell r="I1469">
            <v>3200000</v>
          </cell>
          <cell r="J1469">
            <v>270000</v>
          </cell>
        </row>
        <row r="1470">
          <cell r="B1470" t="str">
            <v>MNT, Assurance Media Station MacABVB 7*24</v>
          </cell>
          <cell r="C1470">
            <v>2794</v>
          </cell>
          <cell r="D1470">
            <v>2100</v>
          </cell>
          <cell r="E1470">
            <v>2600</v>
          </cell>
          <cell r="F1470">
            <v>16800</v>
          </cell>
          <cell r="G1470">
            <v>5000</v>
          </cell>
          <cell r="H1470">
            <v>1800</v>
          </cell>
          <cell r="I1470">
            <v>5000000</v>
          </cell>
          <cell r="J1470">
            <v>430000</v>
          </cell>
        </row>
        <row r="1471">
          <cell r="B1471" t="str">
            <v>MNT, Assurance, 1000XL Mac Meridien</v>
          </cell>
          <cell r="C1471">
            <v>2639</v>
          </cell>
          <cell r="D1471">
            <v>2000</v>
          </cell>
          <cell r="E1471">
            <v>2400</v>
          </cell>
          <cell r="F1471">
            <v>15900</v>
          </cell>
          <cell r="G1471">
            <v>4700</v>
          </cell>
          <cell r="H1471">
            <v>1700</v>
          </cell>
          <cell r="I1471">
            <v>4700000</v>
          </cell>
          <cell r="J1471">
            <v>400000</v>
          </cell>
        </row>
        <row r="1472">
          <cell r="B1472" t="str">
            <v>MNT, Assurance, 1000XL Mac Meridien w/7*24</v>
          </cell>
          <cell r="C1472">
            <v>3639</v>
          </cell>
          <cell r="D1472">
            <v>2700</v>
          </cell>
          <cell r="E1472">
            <v>3300</v>
          </cell>
          <cell r="F1472">
            <v>21900</v>
          </cell>
          <cell r="G1472">
            <v>6500</v>
          </cell>
          <cell r="H1472">
            <v>2300</v>
          </cell>
          <cell r="I1472">
            <v>6500000</v>
          </cell>
          <cell r="J1472">
            <v>550000</v>
          </cell>
        </row>
        <row r="1473">
          <cell r="B1473" t="str">
            <v>MNT, Assurance 1000XL Mac Mer 3D</v>
          </cell>
          <cell r="C1473">
            <v>2639</v>
          </cell>
          <cell r="D1473">
            <v>2000</v>
          </cell>
          <cell r="E1473">
            <v>2400</v>
          </cell>
          <cell r="F1473">
            <v>15900</v>
          </cell>
          <cell r="G1473">
            <v>4700</v>
          </cell>
          <cell r="H1473">
            <v>1700</v>
          </cell>
          <cell r="I1473">
            <v>4700000</v>
          </cell>
          <cell r="J1473">
            <v>400000</v>
          </cell>
        </row>
        <row r="1474">
          <cell r="B1474" t="str">
            <v>MNT, Assurance 1000XL Mac Mer 3D 7*24</v>
          </cell>
          <cell r="C1474">
            <v>3639</v>
          </cell>
          <cell r="D1474">
            <v>2700</v>
          </cell>
          <cell r="E1474">
            <v>3300</v>
          </cell>
          <cell r="F1474">
            <v>21900</v>
          </cell>
          <cell r="G1474">
            <v>6500</v>
          </cell>
          <cell r="H1474">
            <v>2300</v>
          </cell>
          <cell r="I1474">
            <v>6500000</v>
          </cell>
          <cell r="J1474">
            <v>550000</v>
          </cell>
        </row>
        <row r="1475">
          <cell r="B1475" t="str">
            <v>MNT, Assurance Offline MacMeridien</v>
          </cell>
          <cell r="C1475">
            <v>2639</v>
          </cell>
          <cell r="D1475">
            <v>2000</v>
          </cell>
          <cell r="E1475">
            <v>2400</v>
          </cell>
          <cell r="F1475">
            <v>15900</v>
          </cell>
          <cell r="G1475">
            <v>4700</v>
          </cell>
          <cell r="H1475">
            <v>1700</v>
          </cell>
          <cell r="I1475">
            <v>4700000</v>
          </cell>
          <cell r="J1475">
            <v>400000</v>
          </cell>
        </row>
        <row r="1476">
          <cell r="B1476" t="str">
            <v>MNT, Assurance Offline MacMeridien 7*24</v>
          </cell>
          <cell r="C1476">
            <v>3639</v>
          </cell>
          <cell r="D1476">
            <v>2700</v>
          </cell>
          <cell r="E1476">
            <v>3300</v>
          </cell>
          <cell r="F1476">
            <v>21900</v>
          </cell>
          <cell r="G1476">
            <v>6500</v>
          </cell>
          <cell r="H1476">
            <v>2300</v>
          </cell>
          <cell r="I1476">
            <v>6500000</v>
          </cell>
          <cell r="J1476">
            <v>550000</v>
          </cell>
        </row>
        <row r="1477">
          <cell r="B1477" t="str">
            <v>MNT, Assurance  Offline Mac Mer 3D</v>
          </cell>
          <cell r="C1477">
            <v>2639</v>
          </cell>
          <cell r="D1477">
            <v>2000</v>
          </cell>
          <cell r="E1477">
            <v>2400</v>
          </cell>
          <cell r="F1477">
            <v>15900</v>
          </cell>
          <cell r="G1477">
            <v>4700</v>
          </cell>
          <cell r="H1477">
            <v>1700</v>
          </cell>
          <cell r="I1477">
            <v>4700000</v>
          </cell>
          <cell r="J1477">
            <v>400000</v>
          </cell>
        </row>
        <row r="1478">
          <cell r="B1478" t="str">
            <v>MNT, Assurance  Offline Mac Mer 3D 7*24</v>
          </cell>
          <cell r="C1478">
            <v>3639</v>
          </cell>
          <cell r="D1478">
            <v>2700</v>
          </cell>
          <cell r="E1478">
            <v>3300</v>
          </cell>
          <cell r="F1478">
            <v>21900</v>
          </cell>
          <cell r="G1478">
            <v>6500</v>
          </cell>
          <cell r="H1478">
            <v>2300</v>
          </cell>
          <cell r="I1478">
            <v>6500000</v>
          </cell>
          <cell r="J1478">
            <v>550000</v>
          </cell>
        </row>
        <row r="1479">
          <cell r="B1479" t="str">
            <v>MNT, Assurance 9000XL NT Mer 3D</v>
          </cell>
          <cell r="C1479">
            <v>4094</v>
          </cell>
          <cell r="D1479">
            <v>3100</v>
          </cell>
          <cell r="E1479">
            <v>3800</v>
          </cell>
          <cell r="F1479">
            <v>24600</v>
          </cell>
          <cell r="G1479">
            <v>7300</v>
          </cell>
          <cell r="H1479">
            <v>2600</v>
          </cell>
          <cell r="I1479">
            <v>7300000</v>
          </cell>
          <cell r="J1479">
            <v>620000</v>
          </cell>
        </row>
        <row r="1480">
          <cell r="B1480" t="str">
            <v>MNT, Assurance 9000XL NT Mer 3D 7*24</v>
          </cell>
          <cell r="C1480">
            <v>4828</v>
          </cell>
          <cell r="D1480">
            <v>3600</v>
          </cell>
          <cell r="E1480">
            <v>4400</v>
          </cell>
          <cell r="F1480">
            <v>29000</v>
          </cell>
          <cell r="G1480">
            <v>8700</v>
          </cell>
          <cell r="H1480">
            <v>3100</v>
          </cell>
          <cell r="I1480">
            <v>8600000</v>
          </cell>
          <cell r="J1480">
            <v>740000</v>
          </cell>
        </row>
        <row r="1481">
          <cell r="B1481" t="str">
            <v>MNT, Assurance, 1000XL NT Meridien</v>
          </cell>
          <cell r="C1481">
            <v>2729</v>
          </cell>
          <cell r="D1481">
            <v>2000</v>
          </cell>
          <cell r="E1481">
            <v>2500</v>
          </cell>
          <cell r="F1481">
            <v>16400</v>
          </cell>
          <cell r="G1481">
            <v>4900</v>
          </cell>
          <cell r="H1481">
            <v>1700</v>
          </cell>
          <cell r="I1481">
            <v>4800000</v>
          </cell>
          <cell r="J1481">
            <v>420000</v>
          </cell>
        </row>
        <row r="1482">
          <cell r="B1482" t="str">
            <v>MNT, Assurance, 1000XL NT Meridien w/7*24</v>
          </cell>
          <cell r="C1482">
            <v>3729</v>
          </cell>
          <cell r="D1482">
            <v>2800</v>
          </cell>
          <cell r="E1482">
            <v>3400</v>
          </cell>
          <cell r="F1482">
            <v>22400</v>
          </cell>
          <cell r="G1482">
            <v>6700</v>
          </cell>
          <cell r="H1482">
            <v>2400</v>
          </cell>
          <cell r="I1482">
            <v>6600000</v>
          </cell>
          <cell r="J1482">
            <v>570000</v>
          </cell>
        </row>
        <row r="1483">
          <cell r="B1483" t="str">
            <v>MNT, Assurance 1000XL NT Mer 3D</v>
          </cell>
          <cell r="C1483">
            <v>3359</v>
          </cell>
          <cell r="D1483">
            <v>2500</v>
          </cell>
          <cell r="E1483">
            <v>3100</v>
          </cell>
          <cell r="F1483">
            <v>20200</v>
          </cell>
          <cell r="G1483">
            <v>6000</v>
          </cell>
          <cell r="H1483">
            <v>2100</v>
          </cell>
          <cell r="I1483">
            <v>6000000</v>
          </cell>
          <cell r="J1483">
            <v>510000</v>
          </cell>
        </row>
        <row r="1484">
          <cell r="B1484" t="str">
            <v>MNT, Assurance 1000XL NT Mer 3D 7*24</v>
          </cell>
          <cell r="C1484">
            <v>4359</v>
          </cell>
          <cell r="D1484">
            <v>3300</v>
          </cell>
          <cell r="E1484">
            <v>4000</v>
          </cell>
          <cell r="F1484">
            <v>26200</v>
          </cell>
          <cell r="G1484">
            <v>7800</v>
          </cell>
          <cell r="H1484">
            <v>2800</v>
          </cell>
          <cell r="I1484">
            <v>7700000</v>
          </cell>
          <cell r="J1484">
            <v>660000</v>
          </cell>
        </row>
        <row r="1485">
          <cell r="B1485" t="str">
            <v>MNT, Assurance FilmComposer NT Meridien</v>
          </cell>
          <cell r="C1485">
            <v>3254</v>
          </cell>
          <cell r="D1485">
            <v>2400</v>
          </cell>
          <cell r="E1485">
            <v>3000</v>
          </cell>
          <cell r="F1485">
            <v>19600</v>
          </cell>
          <cell r="G1485">
            <v>5800</v>
          </cell>
          <cell r="H1485">
            <v>2100</v>
          </cell>
          <cell r="I1485">
            <v>5800000</v>
          </cell>
          <cell r="J1485">
            <v>500000</v>
          </cell>
        </row>
        <row r="1486">
          <cell r="B1486" t="str">
            <v>MNT, Assurance FilmComposer NT Meridien 7*24</v>
          </cell>
          <cell r="C1486">
            <v>4254</v>
          </cell>
          <cell r="D1486">
            <v>3200</v>
          </cell>
          <cell r="E1486">
            <v>3900</v>
          </cell>
          <cell r="F1486">
            <v>25600</v>
          </cell>
          <cell r="G1486">
            <v>7600</v>
          </cell>
          <cell r="H1486">
            <v>2700</v>
          </cell>
          <cell r="I1486">
            <v>7500000</v>
          </cell>
          <cell r="J1486">
            <v>650000</v>
          </cell>
        </row>
        <row r="1487">
          <cell r="B1487" t="str">
            <v>MNT, Assurance Offline NT Meridien</v>
          </cell>
          <cell r="C1487">
            <v>2729</v>
          </cell>
          <cell r="D1487">
            <v>2000</v>
          </cell>
          <cell r="E1487">
            <v>2500</v>
          </cell>
          <cell r="F1487">
            <v>16400</v>
          </cell>
          <cell r="G1487">
            <v>4900</v>
          </cell>
          <cell r="H1487">
            <v>1700</v>
          </cell>
          <cell r="I1487">
            <v>4800000</v>
          </cell>
          <cell r="J1487">
            <v>420000</v>
          </cell>
        </row>
        <row r="1488">
          <cell r="B1488" t="str">
            <v>MNT, Assurance Offline NT Meridien 7*24</v>
          </cell>
          <cell r="C1488">
            <v>3729</v>
          </cell>
          <cell r="D1488">
            <v>2800</v>
          </cell>
          <cell r="E1488">
            <v>3400</v>
          </cell>
          <cell r="F1488">
            <v>22400</v>
          </cell>
          <cell r="G1488">
            <v>6700</v>
          </cell>
          <cell r="H1488">
            <v>2400</v>
          </cell>
          <cell r="I1488">
            <v>6600000</v>
          </cell>
          <cell r="J1488">
            <v>570000</v>
          </cell>
        </row>
        <row r="1489">
          <cell r="B1489" t="str">
            <v>MNT, Assurance Xpress MAcABVB</v>
          </cell>
          <cell r="C1489">
            <v>1570</v>
          </cell>
          <cell r="D1489">
            <v>1200</v>
          </cell>
          <cell r="E1489">
            <v>1400</v>
          </cell>
          <cell r="F1489">
            <v>9400</v>
          </cell>
          <cell r="G1489">
            <v>2800</v>
          </cell>
          <cell r="H1489">
            <v>1000</v>
          </cell>
          <cell r="I1489">
            <v>2800000</v>
          </cell>
          <cell r="J1489">
            <v>240000</v>
          </cell>
        </row>
        <row r="1490">
          <cell r="B1490" t="str">
            <v>MNT, Assurance Xpress MAcABVB 7*24</v>
          </cell>
          <cell r="C1490">
            <v>2570</v>
          </cell>
          <cell r="D1490">
            <v>1900</v>
          </cell>
          <cell r="E1490">
            <v>2400</v>
          </cell>
          <cell r="F1490">
            <v>15400</v>
          </cell>
          <cell r="G1490">
            <v>4600</v>
          </cell>
          <cell r="H1490">
            <v>1600</v>
          </cell>
          <cell r="I1490">
            <v>4600000</v>
          </cell>
          <cell r="J1490">
            <v>390000</v>
          </cell>
        </row>
        <row r="1491">
          <cell r="B1491" t="str">
            <v>MNT, Assurance Xpress PlusMac Meridien</v>
          </cell>
          <cell r="C1491">
            <v>1570</v>
          </cell>
          <cell r="D1491">
            <v>1200</v>
          </cell>
          <cell r="E1491">
            <v>1400</v>
          </cell>
          <cell r="F1491">
            <v>9400</v>
          </cell>
          <cell r="G1491">
            <v>2800</v>
          </cell>
          <cell r="H1491">
            <v>1000</v>
          </cell>
          <cell r="I1491">
            <v>2800000</v>
          </cell>
          <cell r="J1491">
            <v>240000</v>
          </cell>
        </row>
        <row r="1492">
          <cell r="B1492" t="str">
            <v>MNT, Assurance Xpress PlusMac Meridien 7*24</v>
          </cell>
          <cell r="C1492">
            <v>2570</v>
          </cell>
          <cell r="D1492">
            <v>1900</v>
          </cell>
          <cell r="E1492">
            <v>2400</v>
          </cell>
          <cell r="F1492">
            <v>15400</v>
          </cell>
          <cell r="G1492">
            <v>4600</v>
          </cell>
          <cell r="H1492">
            <v>1600</v>
          </cell>
          <cell r="I1492">
            <v>4600000</v>
          </cell>
          <cell r="J1492">
            <v>390000</v>
          </cell>
        </row>
        <row r="1493">
          <cell r="B1493" t="str">
            <v>MNT, Assurance Xpress Del Mac Meridien</v>
          </cell>
          <cell r="C1493">
            <v>1570</v>
          </cell>
          <cell r="D1493">
            <v>1200</v>
          </cell>
          <cell r="E1493">
            <v>1400</v>
          </cell>
          <cell r="F1493">
            <v>9400</v>
          </cell>
          <cell r="G1493">
            <v>2800</v>
          </cell>
          <cell r="H1493">
            <v>1000</v>
          </cell>
          <cell r="I1493">
            <v>2800000</v>
          </cell>
          <cell r="J1493">
            <v>240000</v>
          </cell>
        </row>
        <row r="1494">
          <cell r="B1494" t="str">
            <v>MNT, Assurance Xpress Del Mac Meridien 7*24</v>
          </cell>
          <cell r="C1494">
            <v>2570</v>
          </cell>
          <cell r="D1494">
            <v>1900</v>
          </cell>
          <cell r="E1494">
            <v>2400</v>
          </cell>
          <cell r="F1494">
            <v>15400</v>
          </cell>
          <cell r="G1494">
            <v>4600</v>
          </cell>
          <cell r="H1494">
            <v>1600</v>
          </cell>
          <cell r="I1494">
            <v>4600000</v>
          </cell>
          <cell r="J1494">
            <v>390000</v>
          </cell>
        </row>
        <row r="1495">
          <cell r="B1495" t="str">
            <v>MNT, Assurance Xpress Elite Mac Meridien</v>
          </cell>
          <cell r="C1495">
            <v>1570</v>
          </cell>
          <cell r="D1495">
            <v>1200</v>
          </cell>
          <cell r="E1495">
            <v>1400</v>
          </cell>
          <cell r="F1495">
            <v>9400</v>
          </cell>
          <cell r="G1495">
            <v>2800</v>
          </cell>
          <cell r="H1495">
            <v>1000</v>
          </cell>
          <cell r="I1495">
            <v>2800000</v>
          </cell>
          <cell r="J1495">
            <v>240000</v>
          </cell>
        </row>
        <row r="1496">
          <cell r="B1496" t="str">
            <v>MNT, Assurance Xpress Elite Mac Meridien 7*24</v>
          </cell>
          <cell r="C1496">
            <v>2570</v>
          </cell>
          <cell r="D1496">
            <v>1900</v>
          </cell>
          <cell r="E1496">
            <v>2400</v>
          </cell>
          <cell r="F1496">
            <v>15400</v>
          </cell>
          <cell r="G1496">
            <v>4600</v>
          </cell>
          <cell r="H1496">
            <v>1600</v>
          </cell>
          <cell r="I1496">
            <v>4600000</v>
          </cell>
          <cell r="J1496">
            <v>390000</v>
          </cell>
        </row>
        <row r="1497">
          <cell r="B1497" t="str">
            <v>MNT, Assurance Xpress Plus NT Meridien</v>
          </cell>
          <cell r="C1497">
            <v>1780</v>
          </cell>
          <cell r="D1497">
            <v>1300</v>
          </cell>
          <cell r="E1497">
            <v>1600</v>
          </cell>
          <cell r="F1497">
            <v>10700</v>
          </cell>
          <cell r="G1497">
            <v>3200</v>
          </cell>
          <cell r="H1497">
            <v>1100</v>
          </cell>
          <cell r="I1497">
            <v>3200000</v>
          </cell>
          <cell r="J1497">
            <v>270000</v>
          </cell>
        </row>
        <row r="1498">
          <cell r="B1498" t="str">
            <v>MNT, Assurance Xpress Plus NT Meridien 7*24</v>
          </cell>
          <cell r="C1498">
            <v>2780</v>
          </cell>
          <cell r="D1498">
            <v>2100</v>
          </cell>
          <cell r="E1498">
            <v>2500</v>
          </cell>
          <cell r="F1498">
            <v>16700</v>
          </cell>
          <cell r="G1498">
            <v>5000</v>
          </cell>
          <cell r="H1498">
            <v>1800</v>
          </cell>
          <cell r="I1498">
            <v>4900000</v>
          </cell>
          <cell r="J1498">
            <v>420000</v>
          </cell>
        </row>
        <row r="1499">
          <cell r="B1499" t="str">
            <v>MNT, Assurance Xpress Del NT Meridien</v>
          </cell>
          <cell r="C1499">
            <v>1780</v>
          </cell>
          <cell r="D1499">
            <v>1300</v>
          </cell>
          <cell r="E1499">
            <v>1600</v>
          </cell>
          <cell r="F1499">
            <v>10700</v>
          </cell>
          <cell r="G1499">
            <v>3200</v>
          </cell>
          <cell r="H1499">
            <v>1100</v>
          </cell>
          <cell r="I1499">
            <v>3200000</v>
          </cell>
          <cell r="J1499">
            <v>270000</v>
          </cell>
        </row>
        <row r="1500">
          <cell r="B1500" t="str">
            <v>MNT, Assurance Xpress Del NT Meridien 7*24</v>
          </cell>
          <cell r="C1500">
            <v>2780</v>
          </cell>
          <cell r="D1500">
            <v>2100</v>
          </cell>
          <cell r="E1500">
            <v>2500</v>
          </cell>
          <cell r="F1500">
            <v>16700</v>
          </cell>
          <cell r="G1500">
            <v>5000</v>
          </cell>
          <cell r="H1500">
            <v>1800</v>
          </cell>
          <cell r="I1500">
            <v>4900000</v>
          </cell>
          <cell r="J1500">
            <v>420000</v>
          </cell>
        </row>
        <row r="1501">
          <cell r="B1501" t="str">
            <v>MNT, Assurance Xpress Elite NT Meridien</v>
          </cell>
          <cell r="C1501">
            <v>1780</v>
          </cell>
          <cell r="D1501">
            <v>1300</v>
          </cell>
          <cell r="E1501">
            <v>1600</v>
          </cell>
          <cell r="F1501">
            <v>10700</v>
          </cell>
          <cell r="G1501">
            <v>3200</v>
          </cell>
          <cell r="H1501">
            <v>1100</v>
          </cell>
          <cell r="I1501">
            <v>3200000</v>
          </cell>
          <cell r="J1501">
            <v>270000</v>
          </cell>
        </row>
        <row r="1502">
          <cell r="B1502" t="str">
            <v>MNT, Assurance Xpress Elite NT Meridien 7*24</v>
          </cell>
          <cell r="C1502">
            <v>2780</v>
          </cell>
          <cell r="D1502">
            <v>2100</v>
          </cell>
          <cell r="E1502">
            <v>2500</v>
          </cell>
          <cell r="F1502">
            <v>16700</v>
          </cell>
          <cell r="G1502">
            <v>5000</v>
          </cell>
          <cell r="H1502">
            <v>1800</v>
          </cell>
          <cell r="I1502">
            <v>4900000</v>
          </cell>
          <cell r="J1502">
            <v>420000</v>
          </cell>
        </row>
        <row r="1503">
          <cell r="B1503" t="str">
            <v xml:space="preserve">MNT, Assurance MediaNet,  </v>
          </cell>
          <cell r="C1503">
            <v>2309</v>
          </cell>
          <cell r="D1503">
            <v>1700</v>
          </cell>
          <cell r="E1503">
            <v>2100</v>
          </cell>
          <cell r="F1503">
            <v>13900</v>
          </cell>
          <cell r="G1503">
            <v>4100</v>
          </cell>
          <cell r="H1503">
            <v>1500</v>
          </cell>
          <cell r="I1503">
            <v>4100000</v>
          </cell>
          <cell r="J1503">
            <v>350000</v>
          </cell>
        </row>
        <row r="1504">
          <cell r="B1504" t="str">
            <v>MNT, Assurance MediaNet,  24*7</v>
          </cell>
          <cell r="C1504">
            <v>3309</v>
          </cell>
          <cell r="D1504">
            <v>2500</v>
          </cell>
          <cell r="E1504">
            <v>3000</v>
          </cell>
          <cell r="F1504">
            <v>19900</v>
          </cell>
          <cell r="G1504">
            <v>5900</v>
          </cell>
          <cell r="H1504">
            <v>2100</v>
          </cell>
          <cell r="I1504">
            <v>5900000</v>
          </cell>
          <cell r="J1504">
            <v>500000</v>
          </cell>
        </row>
        <row r="1505">
          <cell r="B1505" t="str">
            <v>MNT, Assurance On-Site MediaNet</v>
          </cell>
          <cell r="C1505">
            <v>5984</v>
          </cell>
          <cell r="D1505">
            <v>4500</v>
          </cell>
          <cell r="E1505">
            <v>5500</v>
          </cell>
          <cell r="F1505">
            <v>36000</v>
          </cell>
          <cell r="G1505">
            <v>10700</v>
          </cell>
          <cell r="H1505">
            <v>3800</v>
          </cell>
          <cell r="I1505">
            <v>10600000</v>
          </cell>
          <cell r="J1505">
            <v>910000</v>
          </cell>
        </row>
        <row r="1506">
          <cell r="B1506" t="str">
            <v>MNT, Assurance On-site MediaNet 24*7</v>
          </cell>
          <cell r="C1506">
            <v>6984</v>
          </cell>
          <cell r="D1506">
            <v>5200</v>
          </cell>
          <cell r="E1506">
            <v>6400</v>
          </cell>
          <cell r="F1506">
            <v>42000</v>
          </cell>
          <cell r="G1506">
            <v>12500</v>
          </cell>
          <cell r="H1506">
            <v>4400</v>
          </cell>
          <cell r="I1506">
            <v>12400000</v>
          </cell>
          <cell r="J1506">
            <v>1060000</v>
          </cell>
        </row>
        <row r="1507">
          <cell r="B1507" t="str">
            <v>MNT, Assurance MediaNET, add MEdiaARRAY</v>
          </cell>
          <cell r="C1507">
            <v>310</v>
          </cell>
          <cell r="D1507">
            <v>200</v>
          </cell>
          <cell r="E1507">
            <v>300</v>
          </cell>
          <cell r="F1507">
            <v>1900</v>
          </cell>
          <cell r="G1507">
            <v>600</v>
          </cell>
          <cell r="H1507">
            <v>200</v>
          </cell>
          <cell r="I1507">
            <v>500000</v>
          </cell>
          <cell r="J1507">
            <v>50000</v>
          </cell>
        </row>
        <row r="1508">
          <cell r="B1508" t="str">
            <v>MNT, Assurance MediaNET, add MediaSWITCH</v>
          </cell>
          <cell r="C1508">
            <v>735</v>
          </cell>
          <cell r="D1508">
            <v>600</v>
          </cell>
          <cell r="E1508">
            <v>700</v>
          </cell>
          <cell r="F1508">
            <v>4400</v>
          </cell>
          <cell r="G1508">
            <v>1300</v>
          </cell>
          <cell r="H1508">
            <v>500</v>
          </cell>
          <cell r="I1508">
            <v>1300000</v>
          </cell>
          <cell r="J1508">
            <v>110000</v>
          </cell>
        </row>
        <row r="1509">
          <cell r="B1509" t="str">
            <v>Description</v>
          </cell>
          <cell r="C1509" t="str">
            <v>$ List</v>
          </cell>
          <cell r="D1509">
            <v>0</v>
          </cell>
          <cell r="E1509">
            <v>0</v>
          </cell>
          <cell r="F1509">
            <v>0</v>
          </cell>
          <cell r="G1509">
            <v>0</v>
          </cell>
          <cell r="H1509">
            <v>0</v>
          </cell>
          <cell r="I1509">
            <v>0</v>
          </cell>
          <cell r="J1509">
            <v>0</v>
          </cell>
        </row>
        <row r="1510">
          <cell r="B1510" t="str">
            <v>MNT, Assurance 1000 Mac</v>
          </cell>
          <cell r="C1510">
            <v>2639</v>
          </cell>
          <cell r="D1510">
            <v>2000</v>
          </cell>
          <cell r="E1510">
            <v>2400</v>
          </cell>
          <cell r="F1510">
            <v>15900</v>
          </cell>
          <cell r="G1510">
            <v>4700</v>
          </cell>
          <cell r="H1510">
            <v>1700</v>
          </cell>
          <cell r="I1510">
            <v>4700000</v>
          </cell>
          <cell r="J1510">
            <v>400000</v>
          </cell>
        </row>
        <row r="1511">
          <cell r="B1511" t="str">
            <v>MNT, Assurance 1000 Mac, 7*24</v>
          </cell>
          <cell r="C1511">
            <v>3639</v>
          </cell>
          <cell r="D1511">
            <v>2700</v>
          </cell>
          <cell r="E1511">
            <v>3300</v>
          </cell>
          <cell r="F1511">
            <v>21900</v>
          </cell>
          <cell r="G1511">
            <v>6500</v>
          </cell>
          <cell r="H1511">
            <v>2300</v>
          </cell>
          <cell r="I1511">
            <v>6500000</v>
          </cell>
          <cell r="J1511">
            <v>550000</v>
          </cell>
        </row>
        <row r="1512">
          <cell r="B1512" t="str">
            <v>MNT, Assurance Plus 1000 Mac EHW</v>
          </cell>
          <cell r="C1512">
            <v>4515</v>
          </cell>
          <cell r="D1512">
            <v>3400</v>
          </cell>
          <cell r="E1512">
            <v>4100</v>
          </cell>
          <cell r="F1512">
            <v>27100</v>
          </cell>
          <cell r="G1512">
            <v>8100</v>
          </cell>
          <cell r="H1512">
            <v>2900</v>
          </cell>
          <cell r="I1512">
            <v>8000000</v>
          </cell>
          <cell r="J1512">
            <v>690000</v>
          </cell>
        </row>
        <row r="1513">
          <cell r="B1513" t="str">
            <v>MNT, Assurance Plus 1000 Mac EHW, Genie</v>
          </cell>
          <cell r="C1513">
            <v>5144</v>
          </cell>
          <cell r="D1513">
            <v>3900</v>
          </cell>
          <cell r="E1513">
            <v>4700</v>
          </cell>
          <cell r="F1513">
            <v>30900</v>
          </cell>
          <cell r="G1513">
            <v>9200</v>
          </cell>
          <cell r="H1513">
            <v>3300</v>
          </cell>
          <cell r="I1513">
            <v>9100000</v>
          </cell>
          <cell r="J1513">
            <v>780000</v>
          </cell>
        </row>
        <row r="1514">
          <cell r="B1514" t="str">
            <v>MNT, Assurance Plus 1000 Mac EHW, Allad</v>
          </cell>
          <cell r="C1514">
            <v>5564</v>
          </cell>
          <cell r="D1514">
            <v>4200</v>
          </cell>
          <cell r="E1514">
            <v>5100</v>
          </cell>
          <cell r="F1514">
            <v>33400</v>
          </cell>
          <cell r="G1514">
            <v>10000</v>
          </cell>
          <cell r="H1514">
            <v>3500</v>
          </cell>
          <cell r="I1514">
            <v>9900000</v>
          </cell>
          <cell r="J1514">
            <v>850000</v>
          </cell>
        </row>
        <row r="1515">
          <cell r="B1515" t="str">
            <v>MNT, Assurance Plus, 1000 Mac EHW, 7*24</v>
          </cell>
          <cell r="C1515">
            <v>5514</v>
          </cell>
          <cell r="D1515">
            <v>4100</v>
          </cell>
          <cell r="E1515">
            <v>5100</v>
          </cell>
          <cell r="F1515">
            <v>33100</v>
          </cell>
          <cell r="G1515">
            <v>9900</v>
          </cell>
          <cell r="H1515">
            <v>3500</v>
          </cell>
          <cell r="I1515">
            <v>9800000</v>
          </cell>
          <cell r="J1515">
            <v>840000</v>
          </cell>
        </row>
        <row r="1516">
          <cell r="B1516" t="str">
            <v>MNT, Assur Plus, 1000 Mac EHW, 7*24, Genie</v>
          </cell>
          <cell r="C1516">
            <v>6144</v>
          </cell>
          <cell r="D1516">
            <v>4600</v>
          </cell>
          <cell r="E1516">
            <v>5600</v>
          </cell>
          <cell r="F1516">
            <v>36900</v>
          </cell>
          <cell r="G1516">
            <v>11000</v>
          </cell>
          <cell r="H1516">
            <v>3900</v>
          </cell>
          <cell r="I1516">
            <v>10900000</v>
          </cell>
          <cell r="J1516">
            <v>940000</v>
          </cell>
        </row>
        <row r="1517">
          <cell r="B1517" t="str">
            <v>MNT, Assur Plus, 1000 Mac EHW, 7*24, Alladin</v>
          </cell>
          <cell r="C1517">
            <v>6564</v>
          </cell>
          <cell r="D1517">
            <v>4900</v>
          </cell>
          <cell r="E1517">
            <v>6000</v>
          </cell>
          <cell r="F1517">
            <v>39500</v>
          </cell>
          <cell r="G1517">
            <v>11800</v>
          </cell>
          <cell r="H1517">
            <v>4200</v>
          </cell>
          <cell r="I1517">
            <v>11600000</v>
          </cell>
          <cell r="J1517">
            <v>1000000</v>
          </cell>
        </row>
        <row r="1518">
          <cell r="B1518" t="str">
            <v>MNT, Assurance 4000 Mac</v>
          </cell>
          <cell r="C1518">
            <v>2639</v>
          </cell>
          <cell r="D1518">
            <v>2000</v>
          </cell>
          <cell r="E1518">
            <v>2400</v>
          </cell>
          <cell r="F1518">
            <v>15900</v>
          </cell>
          <cell r="G1518">
            <v>4700</v>
          </cell>
          <cell r="H1518">
            <v>1700</v>
          </cell>
          <cell r="I1518">
            <v>4700000</v>
          </cell>
          <cell r="J1518">
            <v>400000</v>
          </cell>
        </row>
        <row r="1519">
          <cell r="B1519" t="str">
            <v>MNT, Assurance 4000 Mac, 7*24</v>
          </cell>
          <cell r="C1519">
            <v>3639</v>
          </cell>
          <cell r="D1519">
            <v>2700</v>
          </cell>
          <cell r="E1519">
            <v>3300</v>
          </cell>
          <cell r="F1519">
            <v>21900</v>
          </cell>
          <cell r="G1519">
            <v>6500</v>
          </cell>
          <cell r="H1519">
            <v>2300</v>
          </cell>
          <cell r="I1519">
            <v>6500000</v>
          </cell>
          <cell r="J1519">
            <v>550000</v>
          </cell>
        </row>
        <row r="1520">
          <cell r="B1520" t="str">
            <v>MNT, Assurance Plus 4000 Mac EHW</v>
          </cell>
          <cell r="C1520">
            <v>4514</v>
          </cell>
          <cell r="D1520">
            <v>3400</v>
          </cell>
          <cell r="E1520">
            <v>4100</v>
          </cell>
          <cell r="F1520">
            <v>27100</v>
          </cell>
          <cell r="G1520">
            <v>8100</v>
          </cell>
          <cell r="H1520">
            <v>2900</v>
          </cell>
          <cell r="I1520">
            <v>8000000</v>
          </cell>
          <cell r="J1520">
            <v>690000</v>
          </cell>
        </row>
        <row r="1521">
          <cell r="B1521" t="str">
            <v>MNT, Assurance Plus 4000 Mac EHW, Genie</v>
          </cell>
          <cell r="C1521">
            <v>5144</v>
          </cell>
          <cell r="D1521">
            <v>3900</v>
          </cell>
          <cell r="E1521">
            <v>4700</v>
          </cell>
          <cell r="F1521">
            <v>30900</v>
          </cell>
          <cell r="G1521">
            <v>9200</v>
          </cell>
          <cell r="H1521">
            <v>3300</v>
          </cell>
          <cell r="I1521">
            <v>9100000</v>
          </cell>
          <cell r="J1521">
            <v>780000</v>
          </cell>
        </row>
        <row r="1522">
          <cell r="B1522" t="str">
            <v>MNT, Assurance Plus 4000 Mac EHW, Allad</v>
          </cell>
          <cell r="C1522">
            <v>5564</v>
          </cell>
          <cell r="D1522">
            <v>4200</v>
          </cell>
          <cell r="E1522">
            <v>5100</v>
          </cell>
          <cell r="F1522">
            <v>33400</v>
          </cell>
          <cell r="G1522">
            <v>10000</v>
          </cell>
          <cell r="H1522">
            <v>3500</v>
          </cell>
          <cell r="I1522">
            <v>9900000</v>
          </cell>
          <cell r="J1522">
            <v>850000</v>
          </cell>
        </row>
        <row r="1523">
          <cell r="B1523" t="str">
            <v>MNT, Assurance Plus, 4000 Mac EHW, 7*24</v>
          </cell>
          <cell r="C1523">
            <v>5514</v>
          </cell>
          <cell r="D1523">
            <v>4100</v>
          </cell>
          <cell r="E1523">
            <v>5100</v>
          </cell>
          <cell r="F1523">
            <v>33100</v>
          </cell>
          <cell r="G1523">
            <v>9900</v>
          </cell>
          <cell r="H1523">
            <v>3500</v>
          </cell>
          <cell r="I1523">
            <v>9800000</v>
          </cell>
          <cell r="J1523">
            <v>840000</v>
          </cell>
        </row>
        <row r="1524">
          <cell r="B1524" t="str">
            <v>MNT, Assur Plus, 4000 Mac EHW, 7*24, Genie</v>
          </cell>
          <cell r="C1524">
            <v>6144</v>
          </cell>
          <cell r="D1524">
            <v>4600</v>
          </cell>
          <cell r="E1524">
            <v>5600</v>
          </cell>
          <cell r="F1524">
            <v>36900</v>
          </cell>
          <cell r="G1524">
            <v>11000</v>
          </cell>
          <cell r="H1524">
            <v>3900</v>
          </cell>
          <cell r="I1524">
            <v>10900000</v>
          </cell>
          <cell r="J1524">
            <v>940000</v>
          </cell>
        </row>
        <row r="1525">
          <cell r="B1525" t="str">
            <v>MNT, Assur Plus, 4000 Mac EHW, 7*24, Alladin</v>
          </cell>
          <cell r="C1525">
            <v>6564</v>
          </cell>
          <cell r="D1525">
            <v>4900</v>
          </cell>
          <cell r="E1525">
            <v>6000</v>
          </cell>
          <cell r="F1525">
            <v>39500</v>
          </cell>
          <cell r="G1525">
            <v>11800</v>
          </cell>
          <cell r="H1525">
            <v>4200</v>
          </cell>
          <cell r="I1525">
            <v>11600000</v>
          </cell>
          <cell r="J1525">
            <v>1000000</v>
          </cell>
        </row>
        <row r="1526">
          <cell r="B1526" t="str">
            <v>MNT, Assurance 8000 Mac</v>
          </cell>
          <cell r="C1526">
            <v>3239</v>
          </cell>
          <cell r="D1526">
            <v>2400</v>
          </cell>
          <cell r="E1526">
            <v>3000</v>
          </cell>
          <cell r="F1526">
            <v>19500</v>
          </cell>
          <cell r="G1526">
            <v>5800</v>
          </cell>
          <cell r="H1526">
            <v>2100</v>
          </cell>
          <cell r="I1526">
            <v>5700000</v>
          </cell>
          <cell r="J1526">
            <v>490000</v>
          </cell>
        </row>
        <row r="1527">
          <cell r="B1527" t="str">
            <v>MNT, Assurance 8000 Mac, 7*24</v>
          </cell>
          <cell r="C1527">
            <v>4239</v>
          </cell>
          <cell r="D1527">
            <v>3200</v>
          </cell>
          <cell r="E1527">
            <v>3900</v>
          </cell>
          <cell r="F1527">
            <v>25500</v>
          </cell>
          <cell r="G1527">
            <v>7600</v>
          </cell>
          <cell r="H1527">
            <v>2700</v>
          </cell>
          <cell r="I1527">
            <v>7500000</v>
          </cell>
          <cell r="J1527">
            <v>650000</v>
          </cell>
        </row>
        <row r="1528">
          <cell r="B1528" t="str">
            <v>MNT, Assurance Plus 8000 Mac EHW</v>
          </cell>
          <cell r="C1528">
            <v>5144</v>
          </cell>
          <cell r="D1528">
            <v>3900</v>
          </cell>
          <cell r="E1528">
            <v>4700</v>
          </cell>
          <cell r="F1528">
            <v>30900</v>
          </cell>
          <cell r="G1528">
            <v>9200</v>
          </cell>
          <cell r="H1528">
            <v>3300</v>
          </cell>
          <cell r="I1528">
            <v>9100000</v>
          </cell>
          <cell r="J1528">
            <v>780000</v>
          </cell>
        </row>
        <row r="1529">
          <cell r="B1529" t="str">
            <v>MNT, Assurance Plus 8000 Mac EHW, Genie</v>
          </cell>
          <cell r="C1529">
            <v>5774</v>
          </cell>
          <cell r="D1529">
            <v>4300</v>
          </cell>
          <cell r="E1529">
            <v>5300</v>
          </cell>
          <cell r="F1529">
            <v>34700</v>
          </cell>
          <cell r="G1529">
            <v>10300</v>
          </cell>
          <cell r="H1529">
            <v>3700</v>
          </cell>
          <cell r="I1529">
            <v>10200000</v>
          </cell>
          <cell r="J1529">
            <v>880000</v>
          </cell>
        </row>
        <row r="1530">
          <cell r="B1530" t="str">
            <v>MNT, Assurance Plus 8000 Mac EHW, Allad</v>
          </cell>
          <cell r="C1530">
            <v>6194</v>
          </cell>
          <cell r="D1530">
            <v>4600</v>
          </cell>
          <cell r="E1530">
            <v>5700</v>
          </cell>
          <cell r="F1530">
            <v>37200</v>
          </cell>
          <cell r="G1530">
            <v>11100</v>
          </cell>
          <cell r="H1530">
            <v>3900</v>
          </cell>
          <cell r="I1530">
            <v>11000000</v>
          </cell>
          <cell r="J1530">
            <v>940000</v>
          </cell>
        </row>
        <row r="1531">
          <cell r="B1531" t="str">
            <v>MNT, Assurance Plus, 8000 Mac EHW, 7*24</v>
          </cell>
          <cell r="C1531">
            <v>6144</v>
          </cell>
          <cell r="D1531">
            <v>4600</v>
          </cell>
          <cell r="E1531">
            <v>5600</v>
          </cell>
          <cell r="F1531">
            <v>36900</v>
          </cell>
          <cell r="G1531">
            <v>11000</v>
          </cell>
          <cell r="H1531">
            <v>3900</v>
          </cell>
          <cell r="I1531">
            <v>10900000</v>
          </cell>
          <cell r="J1531">
            <v>940000</v>
          </cell>
        </row>
        <row r="1532">
          <cell r="B1532" t="str">
            <v>MNT, Assur Plus, 8000 Mac EHW, 7*24, Genie</v>
          </cell>
          <cell r="C1532">
            <v>6774</v>
          </cell>
          <cell r="D1532">
            <v>5100</v>
          </cell>
          <cell r="E1532">
            <v>6200</v>
          </cell>
          <cell r="F1532">
            <v>40700</v>
          </cell>
          <cell r="G1532">
            <v>12100</v>
          </cell>
          <cell r="H1532">
            <v>4300</v>
          </cell>
          <cell r="I1532">
            <v>12000000</v>
          </cell>
          <cell r="J1532">
            <v>1030000</v>
          </cell>
        </row>
        <row r="1533">
          <cell r="B1533" t="str">
            <v>MNT, Assur Plus, 8000 Mac EHW, 7*24, Alladin</v>
          </cell>
          <cell r="C1533">
            <v>7194</v>
          </cell>
          <cell r="D1533">
            <v>5400</v>
          </cell>
          <cell r="E1533">
            <v>6600</v>
          </cell>
          <cell r="F1533">
            <v>43200</v>
          </cell>
          <cell r="G1533">
            <v>12900</v>
          </cell>
          <cell r="H1533">
            <v>4600</v>
          </cell>
          <cell r="I1533">
            <v>12800000</v>
          </cell>
          <cell r="J1533">
            <v>1100000</v>
          </cell>
        </row>
        <row r="1534">
          <cell r="B1534" t="str">
            <v>MNT, Assurance 9000 Mac</v>
          </cell>
          <cell r="C1534">
            <v>3239</v>
          </cell>
          <cell r="D1534">
            <v>2400</v>
          </cell>
          <cell r="E1534">
            <v>3000</v>
          </cell>
          <cell r="F1534">
            <v>19500</v>
          </cell>
          <cell r="G1534">
            <v>5800</v>
          </cell>
          <cell r="H1534">
            <v>2100</v>
          </cell>
          <cell r="I1534">
            <v>5700000</v>
          </cell>
          <cell r="J1534">
            <v>490000</v>
          </cell>
        </row>
        <row r="1535">
          <cell r="B1535" t="str">
            <v>MNT, Assurance 9000 Mac, 7*24</v>
          </cell>
          <cell r="C1535">
            <v>4239</v>
          </cell>
          <cell r="D1535">
            <v>3200</v>
          </cell>
          <cell r="E1535">
            <v>3900</v>
          </cell>
          <cell r="F1535">
            <v>25500</v>
          </cell>
          <cell r="G1535">
            <v>7600</v>
          </cell>
          <cell r="H1535">
            <v>2700</v>
          </cell>
          <cell r="I1535">
            <v>7500000</v>
          </cell>
          <cell r="J1535">
            <v>650000</v>
          </cell>
        </row>
        <row r="1536">
          <cell r="B1536" t="str">
            <v>MNT, Assurance Plus 9000 Mac EHW</v>
          </cell>
          <cell r="C1536">
            <v>5144</v>
          </cell>
          <cell r="D1536">
            <v>3900</v>
          </cell>
          <cell r="E1536">
            <v>4700</v>
          </cell>
          <cell r="F1536">
            <v>30900</v>
          </cell>
          <cell r="G1536">
            <v>9200</v>
          </cell>
          <cell r="H1536">
            <v>3300</v>
          </cell>
          <cell r="I1536">
            <v>9100000</v>
          </cell>
          <cell r="J1536">
            <v>780000</v>
          </cell>
        </row>
        <row r="1537">
          <cell r="B1537" t="str">
            <v>MNT, Assurance Plus 9000 Mac EHW, Genie</v>
          </cell>
          <cell r="C1537">
            <v>5774</v>
          </cell>
          <cell r="D1537">
            <v>4300</v>
          </cell>
          <cell r="E1537">
            <v>5300</v>
          </cell>
          <cell r="F1537">
            <v>34700</v>
          </cell>
          <cell r="G1537">
            <v>10300</v>
          </cell>
          <cell r="H1537">
            <v>3700</v>
          </cell>
          <cell r="I1537">
            <v>10200000</v>
          </cell>
          <cell r="J1537">
            <v>880000</v>
          </cell>
        </row>
        <row r="1538">
          <cell r="B1538" t="str">
            <v>MNT, Assurance Plus 9000 Mac EHW, Allad</v>
          </cell>
          <cell r="C1538">
            <v>6194</v>
          </cell>
          <cell r="D1538">
            <v>4600</v>
          </cell>
          <cell r="E1538">
            <v>5700</v>
          </cell>
          <cell r="F1538">
            <v>37200</v>
          </cell>
          <cell r="G1538">
            <v>11100</v>
          </cell>
          <cell r="H1538">
            <v>3900</v>
          </cell>
          <cell r="I1538">
            <v>11000000</v>
          </cell>
          <cell r="J1538">
            <v>940000</v>
          </cell>
        </row>
        <row r="1539">
          <cell r="B1539" t="str">
            <v>MNT, Assurance Plus, 9000 Mac EHW, 7*24</v>
          </cell>
          <cell r="C1539">
            <v>6144</v>
          </cell>
          <cell r="D1539">
            <v>4600</v>
          </cell>
          <cell r="E1539">
            <v>5600</v>
          </cell>
          <cell r="F1539">
            <v>36900</v>
          </cell>
          <cell r="G1539">
            <v>11000</v>
          </cell>
          <cell r="H1539">
            <v>3900</v>
          </cell>
          <cell r="I1539">
            <v>10900000</v>
          </cell>
          <cell r="J1539">
            <v>940000</v>
          </cell>
        </row>
        <row r="1540">
          <cell r="B1540" t="str">
            <v>MNT, Assur Plus, 9000 Mac EHW, 7*24, Genie</v>
          </cell>
          <cell r="C1540">
            <v>6774</v>
          </cell>
          <cell r="D1540">
            <v>5100</v>
          </cell>
          <cell r="E1540">
            <v>6200</v>
          </cell>
          <cell r="F1540">
            <v>40700</v>
          </cell>
          <cell r="G1540">
            <v>12100</v>
          </cell>
          <cell r="H1540">
            <v>4300</v>
          </cell>
          <cell r="I1540">
            <v>12000000</v>
          </cell>
          <cell r="J1540">
            <v>1030000</v>
          </cell>
        </row>
        <row r="1541">
          <cell r="B1541" t="str">
            <v>MNT, Assur Plus, 9000 Mac EHW, 7*24, Alladin</v>
          </cell>
          <cell r="C1541">
            <v>7194</v>
          </cell>
          <cell r="D1541">
            <v>5400</v>
          </cell>
          <cell r="E1541">
            <v>6600</v>
          </cell>
          <cell r="F1541">
            <v>43200</v>
          </cell>
          <cell r="G1541">
            <v>12900</v>
          </cell>
          <cell r="H1541">
            <v>4600</v>
          </cell>
          <cell r="I1541">
            <v>12800000</v>
          </cell>
          <cell r="J1541">
            <v>1100000</v>
          </cell>
        </row>
        <row r="1542">
          <cell r="B1542" t="str">
            <v>MNT,Assurance Offline MAC</v>
          </cell>
          <cell r="C1542">
            <v>2639</v>
          </cell>
          <cell r="D1542">
            <v>2000</v>
          </cell>
          <cell r="E1542">
            <v>2400</v>
          </cell>
          <cell r="F1542">
            <v>15900</v>
          </cell>
          <cell r="G1542">
            <v>4700</v>
          </cell>
          <cell r="H1542">
            <v>1700</v>
          </cell>
          <cell r="I1542">
            <v>4700000</v>
          </cell>
          <cell r="J1542">
            <v>400000</v>
          </cell>
        </row>
        <row r="1543">
          <cell r="B1543" t="str">
            <v>MNT,Assurance Offline MAC,7*24</v>
          </cell>
          <cell r="C1543">
            <v>3639</v>
          </cell>
          <cell r="D1543">
            <v>2700</v>
          </cell>
          <cell r="E1543">
            <v>3300</v>
          </cell>
          <cell r="F1543">
            <v>21900</v>
          </cell>
          <cell r="G1543">
            <v>6500</v>
          </cell>
          <cell r="H1543">
            <v>2300</v>
          </cell>
          <cell r="I1543">
            <v>6500000</v>
          </cell>
          <cell r="J1543">
            <v>550000</v>
          </cell>
        </row>
        <row r="1544">
          <cell r="B1544" t="str">
            <v>MNT,Assurance Plus Offline MAC EHW</v>
          </cell>
          <cell r="C1544">
            <v>4514</v>
          </cell>
          <cell r="D1544">
            <v>3400</v>
          </cell>
          <cell r="E1544">
            <v>4100</v>
          </cell>
          <cell r="F1544">
            <v>27100</v>
          </cell>
          <cell r="G1544">
            <v>8100</v>
          </cell>
          <cell r="H1544">
            <v>2900</v>
          </cell>
          <cell r="I1544">
            <v>8000000</v>
          </cell>
          <cell r="J1544">
            <v>690000</v>
          </cell>
        </row>
        <row r="1545">
          <cell r="B1545" t="str">
            <v>MNT,Assurance Plus Offline MAC EHW,7*24</v>
          </cell>
          <cell r="C1545">
            <v>5514</v>
          </cell>
          <cell r="D1545">
            <v>4100</v>
          </cell>
          <cell r="E1545">
            <v>5100</v>
          </cell>
          <cell r="F1545">
            <v>33100</v>
          </cell>
          <cell r="G1545">
            <v>9900</v>
          </cell>
          <cell r="H1545">
            <v>3500</v>
          </cell>
          <cell r="I1545">
            <v>9800000</v>
          </cell>
          <cell r="J1545">
            <v>840000</v>
          </cell>
        </row>
        <row r="1546">
          <cell r="B1546" t="str">
            <v>MNT,Assurance FilmComposer MAC</v>
          </cell>
          <cell r="C1546">
            <v>2639</v>
          </cell>
          <cell r="D1546">
            <v>2000</v>
          </cell>
          <cell r="E1546">
            <v>2400</v>
          </cell>
          <cell r="F1546">
            <v>15900</v>
          </cell>
          <cell r="G1546">
            <v>4700</v>
          </cell>
          <cell r="H1546">
            <v>1700</v>
          </cell>
          <cell r="I1546">
            <v>4700000</v>
          </cell>
          <cell r="J1546">
            <v>400000</v>
          </cell>
        </row>
        <row r="1547">
          <cell r="B1547" t="str">
            <v>MNT,Assurance FilmComposer MAC,7*24</v>
          </cell>
          <cell r="C1547">
            <v>3639</v>
          </cell>
          <cell r="D1547">
            <v>2700</v>
          </cell>
          <cell r="E1547">
            <v>3300</v>
          </cell>
          <cell r="F1547">
            <v>21900</v>
          </cell>
          <cell r="G1547">
            <v>6500</v>
          </cell>
          <cell r="H1547">
            <v>2300</v>
          </cell>
          <cell r="I1547">
            <v>6500000</v>
          </cell>
          <cell r="J1547">
            <v>550000</v>
          </cell>
        </row>
        <row r="1548">
          <cell r="B1548" t="str">
            <v>MNT,Assurance Plus FilmComposer MAC EHW</v>
          </cell>
          <cell r="C1548">
            <v>4514</v>
          </cell>
          <cell r="D1548">
            <v>3400</v>
          </cell>
          <cell r="E1548">
            <v>4100</v>
          </cell>
          <cell r="F1548">
            <v>27100</v>
          </cell>
          <cell r="G1548">
            <v>8100</v>
          </cell>
          <cell r="H1548">
            <v>2900</v>
          </cell>
          <cell r="I1548">
            <v>8000000</v>
          </cell>
          <cell r="J1548">
            <v>690000</v>
          </cell>
        </row>
        <row r="1549">
          <cell r="B1549" t="str">
            <v>MNT,Assurance Plus FilmComposer MAC EHW,7*24</v>
          </cell>
          <cell r="C1549">
            <v>5514</v>
          </cell>
          <cell r="D1549">
            <v>4100</v>
          </cell>
          <cell r="E1549">
            <v>5100</v>
          </cell>
          <cell r="F1549">
            <v>33100</v>
          </cell>
          <cell r="G1549">
            <v>9900</v>
          </cell>
          <cell r="H1549">
            <v>3500</v>
          </cell>
          <cell r="I1549">
            <v>9800000</v>
          </cell>
          <cell r="J1549">
            <v>840000</v>
          </cell>
        </row>
        <row r="1550">
          <cell r="B1550" t="str">
            <v>MNT,Assurance Xpress MAC</v>
          </cell>
          <cell r="C1550">
            <v>1570</v>
          </cell>
          <cell r="D1550">
            <v>1200</v>
          </cell>
          <cell r="E1550">
            <v>1400</v>
          </cell>
          <cell r="F1550">
            <v>9400</v>
          </cell>
          <cell r="G1550">
            <v>2800</v>
          </cell>
          <cell r="H1550">
            <v>1000</v>
          </cell>
          <cell r="I1550">
            <v>2800000</v>
          </cell>
          <cell r="J1550">
            <v>240000</v>
          </cell>
        </row>
        <row r="1551">
          <cell r="B1551" t="str">
            <v>MNT,Assurance Xpress MAC,7*24</v>
          </cell>
          <cell r="C1551">
            <v>2570</v>
          </cell>
          <cell r="D1551">
            <v>1900</v>
          </cell>
          <cell r="E1551">
            <v>2400</v>
          </cell>
          <cell r="F1551">
            <v>15400</v>
          </cell>
          <cell r="G1551">
            <v>4600</v>
          </cell>
          <cell r="H1551">
            <v>1600</v>
          </cell>
          <cell r="I1551">
            <v>4600000</v>
          </cell>
          <cell r="J1551">
            <v>390000</v>
          </cell>
        </row>
        <row r="1552">
          <cell r="B1552" t="str">
            <v>MNT Assurance Plus Xpress MAC EHW</v>
          </cell>
          <cell r="C1552">
            <v>3775</v>
          </cell>
          <cell r="D1552">
            <v>2800</v>
          </cell>
          <cell r="E1552">
            <v>3500</v>
          </cell>
          <cell r="F1552">
            <v>22700</v>
          </cell>
          <cell r="G1552">
            <v>6800</v>
          </cell>
          <cell r="H1552">
            <v>2400</v>
          </cell>
          <cell r="I1552">
            <v>6700000</v>
          </cell>
          <cell r="J1552">
            <v>580000</v>
          </cell>
        </row>
        <row r="1553">
          <cell r="B1553" t="str">
            <v>MNT Assurance Plus Xpress MAC EHW,GENIE</v>
          </cell>
          <cell r="C1553">
            <v>4405</v>
          </cell>
          <cell r="D1553">
            <v>3300</v>
          </cell>
          <cell r="E1553">
            <v>4000</v>
          </cell>
          <cell r="F1553">
            <v>26500</v>
          </cell>
          <cell r="G1553">
            <v>7900</v>
          </cell>
          <cell r="H1553">
            <v>2800</v>
          </cell>
          <cell r="I1553">
            <v>7800000</v>
          </cell>
          <cell r="J1553">
            <v>670000</v>
          </cell>
        </row>
        <row r="1554">
          <cell r="B1554" t="str">
            <v>MNT Assurance Plus Xpress MAC EHW,7*24</v>
          </cell>
          <cell r="C1554">
            <v>4775</v>
          </cell>
          <cell r="D1554">
            <v>3600</v>
          </cell>
          <cell r="E1554">
            <v>4400</v>
          </cell>
          <cell r="F1554">
            <v>28700</v>
          </cell>
          <cell r="G1554">
            <v>8600</v>
          </cell>
          <cell r="H1554">
            <v>3000</v>
          </cell>
          <cell r="I1554">
            <v>8500000</v>
          </cell>
          <cell r="J1554">
            <v>730000</v>
          </cell>
        </row>
        <row r="1555">
          <cell r="B1555" t="str">
            <v>MNT Assurance Plus Xpress MAC EHW,7*24,GENIE</v>
          </cell>
          <cell r="C1555">
            <v>5405</v>
          </cell>
          <cell r="D1555">
            <v>4100</v>
          </cell>
          <cell r="E1555">
            <v>5000</v>
          </cell>
          <cell r="F1555">
            <v>32500</v>
          </cell>
          <cell r="G1555">
            <v>9700</v>
          </cell>
          <cell r="H1555">
            <v>3400</v>
          </cell>
          <cell r="I1555">
            <v>9600000</v>
          </cell>
          <cell r="J1555">
            <v>820000</v>
          </cell>
        </row>
        <row r="1556">
          <cell r="B1556" t="str">
            <v>MNT,Assurance MCX NT</v>
          </cell>
          <cell r="C1556">
            <v>1045</v>
          </cell>
          <cell r="D1556">
            <v>800</v>
          </cell>
          <cell r="E1556">
            <v>1000</v>
          </cell>
          <cell r="F1556">
            <v>6300</v>
          </cell>
          <cell r="G1556">
            <v>1900</v>
          </cell>
          <cell r="H1556">
            <v>700</v>
          </cell>
          <cell r="I1556">
            <v>1900000</v>
          </cell>
          <cell r="J1556">
            <v>160000</v>
          </cell>
        </row>
        <row r="1557">
          <cell r="B1557" t="str">
            <v>MNT Assurance MediaStation MAC</v>
          </cell>
          <cell r="C1557">
            <v>1794</v>
          </cell>
          <cell r="D1557">
            <v>1300</v>
          </cell>
          <cell r="E1557">
            <v>1600</v>
          </cell>
          <cell r="F1557">
            <v>10800</v>
          </cell>
          <cell r="G1557">
            <v>3200</v>
          </cell>
          <cell r="H1557">
            <v>1100</v>
          </cell>
          <cell r="I1557">
            <v>3200000</v>
          </cell>
          <cell r="J1557">
            <v>270000</v>
          </cell>
        </row>
        <row r="1558">
          <cell r="B1558" t="str">
            <v>MNT,Assurance MediaStation MAC,7*24</v>
          </cell>
          <cell r="C1558">
            <v>2794</v>
          </cell>
          <cell r="D1558">
            <v>2100</v>
          </cell>
          <cell r="E1558">
            <v>2600</v>
          </cell>
          <cell r="F1558">
            <v>16800</v>
          </cell>
          <cell r="G1558">
            <v>5000</v>
          </cell>
          <cell r="H1558">
            <v>1800</v>
          </cell>
          <cell r="I1558">
            <v>5000000</v>
          </cell>
          <cell r="J1558">
            <v>430000</v>
          </cell>
        </row>
        <row r="1559">
          <cell r="B1559" t="str">
            <v>MNT,Assurance Plus MediaStation MAC EHW</v>
          </cell>
          <cell r="C1559">
            <v>4514</v>
          </cell>
          <cell r="D1559">
            <v>3400</v>
          </cell>
          <cell r="E1559">
            <v>4100</v>
          </cell>
          <cell r="F1559">
            <v>27100</v>
          </cell>
          <cell r="G1559">
            <v>8100</v>
          </cell>
          <cell r="H1559">
            <v>2900</v>
          </cell>
          <cell r="I1559">
            <v>8000000</v>
          </cell>
          <cell r="J1559">
            <v>690000</v>
          </cell>
        </row>
        <row r="1560">
          <cell r="B1560" t="str">
            <v>MNT,Assurance Plus MediaStation MAC EHW,7*24</v>
          </cell>
          <cell r="C1560">
            <v>5514</v>
          </cell>
          <cell r="D1560">
            <v>4100</v>
          </cell>
          <cell r="E1560">
            <v>5100</v>
          </cell>
          <cell r="F1560">
            <v>33100</v>
          </cell>
          <cell r="G1560">
            <v>9900</v>
          </cell>
          <cell r="H1560">
            <v>3500</v>
          </cell>
          <cell r="I1560">
            <v>9800000</v>
          </cell>
          <cell r="J1560">
            <v>840000</v>
          </cell>
        </row>
        <row r="1561">
          <cell r="B1561" t="str">
            <v>MNT, Assurance 400s Mac</v>
          </cell>
          <cell r="C1561">
            <v>1138</v>
          </cell>
          <cell r="D1561">
            <v>900</v>
          </cell>
          <cell r="E1561">
            <v>1000</v>
          </cell>
          <cell r="F1561">
            <v>6800</v>
          </cell>
          <cell r="G1561">
            <v>2000</v>
          </cell>
          <cell r="H1561">
            <v>700</v>
          </cell>
          <cell r="I1561">
            <v>2000000</v>
          </cell>
          <cell r="J1561">
            <v>170000</v>
          </cell>
        </row>
        <row r="1562">
          <cell r="B1562" t="str">
            <v>MNT, Assurance 400s Mac, 7*24</v>
          </cell>
          <cell r="C1562">
            <v>2138</v>
          </cell>
          <cell r="D1562">
            <v>1600</v>
          </cell>
          <cell r="E1562">
            <v>2000</v>
          </cell>
          <cell r="F1562">
            <v>12800</v>
          </cell>
          <cell r="G1562">
            <v>3800</v>
          </cell>
          <cell r="H1562">
            <v>1400</v>
          </cell>
          <cell r="I1562">
            <v>3800000</v>
          </cell>
          <cell r="J1562">
            <v>330000</v>
          </cell>
        </row>
        <row r="1563">
          <cell r="B1563" t="str">
            <v>MNT, Assurance Plus 400s Mac EHW</v>
          </cell>
          <cell r="C1563">
            <v>3200</v>
          </cell>
          <cell r="D1563">
            <v>2400</v>
          </cell>
          <cell r="E1563">
            <v>2900</v>
          </cell>
          <cell r="F1563">
            <v>19200</v>
          </cell>
          <cell r="G1563">
            <v>5700</v>
          </cell>
          <cell r="H1563">
            <v>2000</v>
          </cell>
          <cell r="I1563">
            <v>5700000</v>
          </cell>
          <cell r="J1563">
            <v>490000</v>
          </cell>
        </row>
        <row r="1564">
          <cell r="B1564" t="str">
            <v>MNT, Assurance Plus 400s Mac EHW 7*24</v>
          </cell>
          <cell r="C1564">
            <v>4200</v>
          </cell>
          <cell r="D1564">
            <v>3200</v>
          </cell>
          <cell r="E1564">
            <v>3800</v>
          </cell>
          <cell r="F1564">
            <v>25200</v>
          </cell>
          <cell r="G1564">
            <v>7500</v>
          </cell>
          <cell r="H1564">
            <v>2700</v>
          </cell>
          <cell r="I1564">
            <v>7500000</v>
          </cell>
          <cell r="J1564">
            <v>640000</v>
          </cell>
        </row>
        <row r="1565">
          <cell r="B1565" t="str">
            <v>MNT, Assurance 800 Mac</v>
          </cell>
          <cell r="C1565">
            <v>1138</v>
          </cell>
          <cell r="D1565">
            <v>900</v>
          </cell>
          <cell r="E1565">
            <v>1000</v>
          </cell>
          <cell r="F1565">
            <v>6800</v>
          </cell>
          <cell r="G1565">
            <v>2000</v>
          </cell>
          <cell r="H1565">
            <v>700</v>
          </cell>
          <cell r="I1565">
            <v>2000000</v>
          </cell>
          <cell r="J1565">
            <v>170000</v>
          </cell>
        </row>
        <row r="1566">
          <cell r="B1566" t="str">
            <v>MNT, Assurance 800 Mac, 7*24</v>
          </cell>
          <cell r="C1566">
            <v>2138</v>
          </cell>
          <cell r="D1566">
            <v>1600</v>
          </cell>
          <cell r="E1566">
            <v>2000</v>
          </cell>
          <cell r="F1566">
            <v>12800</v>
          </cell>
          <cell r="G1566">
            <v>3800</v>
          </cell>
          <cell r="H1566">
            <v>1400</v>
          </cell>
          <cell r="I1566">
            <v>3800000</v>
          </cell>
          <cell r="J1566">
            <v>330000</v>
          </cell>
        </row>
        <row r="1567">
          <cell r="B1567" t="str">
            <v>MNT, Assurance Plus 800 Mac EHW</v>
          </cell>
          <cell r="C1567">
            <v>3200</v>
          </cell>
          <cell r="D1567">
            <v>2400</v>
          </cell>
          <cell r="E1567">
            <v>2900</v>
          </cell>
          <cell r="F1567">
            <v>19200</v>
          </cell>
          <cell r="G1567">
            <v>5700</v>
          </cell>
          <cell r="H1567">
            <v>2000</v>
          </cell>
          <cell r="I1567">
            <v>5700000</v>
          </cell>
          <cell r="J1567">
            <v>490000</v>
          </cell>
        </row>
        <row r="1568">
          <cell r="B1568" t="str">
            <v>MNT, Assurance Plus 800 Mac EHW 7*24</v>
          </cell>
          <cell r="C1568">
            <v>4200</v>
          </cell>
          <cell r="D1568">
            <v>3200</v>
          </cell>
          <cell r="E1568">
            <v>3800</v>
          </cell>
          <cell r="F1568">
            <v>25200</v>
          </cell>
          <cell r="G1568">
            <v>7500</v>
          </cell>
          <cell r="H1568">
            <v>2700</v>
          </cell>
          <cell r="I1568">
            <v>7500000</v>
          </cell>
          <cell r="J1568">
            <v>640000</v>
          </cell>
        </row>
        <row r="1569">
          <cell r="B1569" t="str">
            <v>MNT, Assurance 900 Mac</v>
          </cell>
          <cell r="C1569">
            <v>1138</v>
          </cell>
          <cell r="D1569">
            <v>900</v>
          </cell>
          <cell r="E1569">
            <v>1000</v>
          </cell>
          <cell r="F1569">
            <v>6800</v>
          </cell>
          <cell r="G1569">
            <v>2000</v>
          </cell>
          <cell r="H1569">
            <v>700</v>
          </cell>
          <cell r="I1569">
            <v>2000000</v>
          </cell>
          <cell r="J1569">
            <v>170000</v>
          </cell>
        </row>
        <row r="1570">
          <cell r="B1570" t="str">
            <v>MNT, Assurance 900 Mac, 7*24</v>
          </cell>
          <cell r="C1570">
            <v>2138</v>
          </cell>
          <cell r="D1570">
            <v>1600</v>
          </cell>
          <cell r="E1570">
            <v>2000</v>
          </cell>
          <cell r="F1570">
            <v>12800</v>
          </cell>
          <cell r="G1570">
            <v>3800</v>
          </cell>
          <cell r="H1570">
            <v>1400</v>
          </cell>
          <cell r="I1570">
            <v>3800000</v>
          </cell>
          <cell r="J1570">
            <v>330000</v>
          </cell>
        </row>
        <row r="1571">
          <cell r="B1571" t="str">
            <v>MNT, Assurance Plus 900 Mac EHW</v>
          </cell>
          <cell r="C1571">
            <v>3200</v>
          </cell>
          <cell r="D1571">
            <v>2400</v>
          </cell>
          <cell r="E1571">
            <v>2900</v>
          </cell>
          <cell r="F1571">
            <v>19200</v>
          </cell>
          <cell r="G1571">
            <v>5700</v>
          </cell>
          <cell r="H1571">
            <v>2000</v>
          </cell>
          <cell r="I1571">
            <v>5700000</v>
          </cell>
          <cell r="J1571">
            <v>490000</v>
          </cell>
        </row>
        <row r="1572">
          <cell r="B1572" t="str">
            <v>MNT, Assurance Plus 900 Mac EHW 7*24</v>
          </cell>
          <cell r="C1572">
            <v>4200</v>
          </cell>
          <cell r="D1572">
            <v>3200</v>
          </cell>
          <cell r="E1572">
            <v>3800</v>
          </cell>
          <cell r="F1572">
            <v>25200</v>
          </cell>
          <cell r="G1572">
            <v>7500</v>
          </cell>
          <cell r="H1572">
            <v>2700</v>
          </cell>
          <cell r="I1572">
            <v>7500000</v>
          </cell>
          <cell r="J1572">
            <v>640000</v>
          </cell>
        </row>
        <row r="1573">
          <cell r="B1573" t="str">
            <v>MNT, Assurance AudioVision Mac</v>
          </cell>
          <cell r="C1573">
            <v>1575</v>
          </cell>
          <cell r="D1573">
            <v>1200</v>
          </cell>
          <cell r="E1573">
            <v>1400</v>
          </cell>
          <cell r="F1573">
            <v>9500</v>
          </cell>
          <cell r="G1573">
            <v>2800</v>
          </cell>
          <cell r="H1573">
            <v>1000</v>
          </cell>
          <cell r="I1573">
            <v>2800000</v>
          </cell>
          <cell r="J1573">
            <v>240000</v>
          </cell>
        </row>
        <row r="1574">
          <cell r="B1574" t="str">
            <v>MNT, Assurance AudioVision Mac EHW</v>
          </cell>
          <cell r="C1574">
            <v>3780</v>
          </cell>
          <cell r="D1574">
            <v>2800</v>
          </cell>
          <cell r="E1574">
            <v>3500</v>
          </cell>
          <cell r="F1574">
            <v>22700</v>
          </cell>
          <cell r="G1574">
            <v>6800</v>
          </cell>
          <cell r="H1574">
            <v>2400</v>
          </cell>
          <cell r="I1574">
            <v>6700000</v>
          </cell>
          <cell r="J1574">
            <v>580000</v>
          </cell>
        </row>
        <row r="1575">
          <cell r="B1575" t="str">
            <v>MNT, Assurance AudioVision EHW, 16chAMCI</v>
          </cell>
          <cell r="C1575">
            <v>4410</v>
          </cell>
          <cell r="D1575">
            <v>3300</v>
          </cell>
          <cell r="E1575">
            <v>4000</v>
          </cell>
          <cell r="F1575">
            <v>26500</v>
          </cell>
          <cell r="G1575">
            <v>7900</v>
          </cell>
          <cell r="H1575">
            <v>2800</v>
          </cell>
          <cell r="I1575">
            <v>7800000</v>
          </cell>
          <cell r="J1575">
            <v>670000</v>
          </cell>
        </row>
        <row r="1576">
          <cell r="B1576" t="str">
            <v>MNT, Assurance NewsCutter Mac 7*24</v>
          </cell>
          <cell r="C1576">
            <v>3416</v>
          </cell>
          <cell r="D1576">
            <v>2600</v>
          </cell>
          <cell r="E1576">
            <v>3100</v>
          </cell>
          <cell r="F1576">
            <v>20500</v>
          </cell>
          <cell r="G1576">
            <v>6100</v>
          </cell>
          <cell r="H1576">
            <v>2200</v>
          </cell>
          <cell r="I1576">
            <v>6100000</v>
          </cell>
          <cell r="J1576">
            <v>520000</v>
          </cell>
        </row>
        <row r="1577">
          <cell r="B1577" t="str">
            <v>MNT, Assur Plus NewsCutter Mac  EHW, 7*24</v>
          </cell>
          <cell r="C1577">
            <v>5515</v>
          </cell>
          <cell r="D1577">
            <v>4100</v>
          </cell>
          <cell r="E1577">
            <v>5100</v>
          </cell>
          <cell r="F1577">
            <v>33100</v>
          </cell>
          <cell r="G1577">
            <v>9900</v>
          </cell>
          <cell r="H1577">
            <v>3500</v>
          </cell>
          <cell r="I1577">
            <v>9800000</v>
          </cell>
          <cell r="J1577">
            <v>840000</v>
          </cell>
        </row>
        <row r="1578">
          <cell r="B1578" t="str">
            <v>MNT, Assur NewsCutter Effects DV  7*24</v>
          </cell>
          <cell r="C1578">
            <v>4200</v>
          </cell>
          <cell r="D1578">
            <v>3200</v>
          </cell>
          <cell r="E1578">
            <v>3800</v>
          </cell>
          <cell r="F1578">
            <v>25200</v>
          </cell>
          <cell r="G1578">
            <v>7500</v>
          </cell>
          <cell r="H1578">
            <v>2700</v>
          </cell>
          <cell r="I1578">
            <v>7500000</v>
          </cell>
          <cell r="J1578">
            <v>640000</v>
          </cell>
        </row>
        <row r="1579">
          <cell r="B1579" t="str">
            <v>MNT, Assur Plus NewsCut Effects DV EHW, 7*24</v>
          </cell>
          <cell r="C1579">
            <v>0</v>
          </cell>
          <cell r="D1579">
            <v>0</v>
          </cell>
          <cell r="E1579">
            <v>0</v>
          </cell>
          <cell r="F1579">
            <v>0</v>
          </cell>
          <cell r="G1579">
            <v>0</v>
          </cell>
          <cell r="H1579">
            <v>0</v>
          </cell>
          <cell r="I1579">
            <v>0</v>
          </cell>
          <cell r="J1579">
            <v>0</v>
          </cell>
        </row>
        <row r="1580">
          <cell r="B1580" t="str">
            <v>MNT, Assur NewsCutter Cuts DV 7*24</v>
          </cell>
          <cell r="C1580">
            <v>3416</v>
          </cell>
          <cell r="D1580">
            <v>0</v>
          </cell>
          <cell r="E1580">
            <v>0</v>
          </cell>
          <cell r="F1580">
            <v>0</v>
          </cell>
          <cell r="G1580">
            <v>0</v>
          </cell>
          <cell r="H1580">
            <v>0</v>
          </cell>
          <cell r="I1580">
            <v>0</v>
          </cell>
          <cell r="J1580">
            <v>0</v>
          </cell>
        </row>
        <row r="1581">
          <cell r="B1581" t="str">
            <v>MNT, Assur Plus NewsCut Cuts DV EHW, 7*24</v>
          </cell>
          <cell r="C1581" t="str">
            <v>tba</v>
          </cell>
          <cell r="D1581">
            <v>0</v>
          </cell>
          <cell r="E1581">
            <v>0</v>
          </cell>
          <cell r="F1581">
            <v>0</v>
          </cell>
          <cell r="G1581">
            <v>0</v>
          </cell>
          <cell r="H1581">
            <v>0</v>
          </cell>
          <cell r="I1581">
            <v>0</v>
          </cell>
          <cell r="J1581">
            <v>0</v>
          </cell>
        </row>
        <row r="1582">
          <cell r="B1582" t="str">
            <v>MNT, Assurance Airplay  7*24</v>
          </cell>
          <cell r="C1582">
            <v>3416</v>
          </cell>
          <cell r="D1582">
            <v>2600</v>
          </cell>
          <cell r="E1582">
            <v>3100</v>
          </cell>
          <cell r="F1582">
            <v>20500</v>
          </cell>
          <cell r="G1582">
            <v>6100</v>
          </cell>
          <cell r="H1582">
            <v>2200</v>
          </cell>
          <cell r="I1582">
            <v>6100000</v>
          </cell>
          <cell r="J1582">
            <v>520000</v>
          </cell>
        </row>
        <row r="1583">
          <cell r="B1583" t="str">
            <v>MNT, Assurance Plus Airplay EHW, 7*24</v>
          </cell>
          <cell r="C1583">
            <v>5515</v>
          </cell>
          <cell r="D1583">
            <v>4100</v>
          </cell>
          <cell r="E1583">
            <v>5100</v>
          </cell>
          <cell r="F1583">
            <v>33100</v>
          </cell>
          <cell r="G1583">
            <v>9900</v>
          </cell>
          <cell r="H1583">
            <v>3500</v>
          </cell>
          <cell r="I1583">
            <v>9800000</v>
          </cell>
          <cell r="J1583">
            <v>840000</v>
          </cell>
        </row>
        <row r="1584">
          <cell r="B1584" t="str">
            <v>MNT, Assurance DS Single Stream</v>
          </cell>
          <cell r="C1584">
            <v>4300</v>
          </cell>
          <cell r="D1584">
            <v>3200</v>
          </cell>
          <cell r="E1584">
            <v>3900</v>
          </cell>
          <cell r="F1584">
            <v>25800</v>
          </cell>
          <cell r="G1584">
            <v>7700</v>
          </cell>
          <cell r="H1584">
            <v>2700</v>
          </cell>
          <cell r="I1584">
            <v>7600000</v>
          </cell>
          <cell r="J1584">
            <v>660000</v>
          </cell>
        </row>
        <row r="1585">
          <cell r="B1585" t="str">
            <v>MNT, Assurance DS Dual Stream</v>
          </cell>
          <cell r="C1585">
            <v>5775</v>
          </cell>
          <cell r="D1585">
            <v>4300</v>
          </cell>
          <cell r="E1585">
            <v>5300</v>
          </cell>
          <cell r="F1585">
            <v>34700</v>
          </cell>
          <cell r="G1585">
            <v>10300</v>
          </cell>
          <cell r="H1585">
            <v>3700</v>
          </cell>
          <cell r="I1585">
            <v>10200000</v>
          </cell>
          <cell r="J1585">
            <v>880000</v>
          </cell>
        </row>
        <row r="1586">
          <cell r="B1586" t="str">
            <v>Description</v>
          </cell>
          <cell r="C1586" t="str">
            <v>$ List</v>
          </cell>
          <cell r="D1586">
            <v>0</v>
          </cell>
          <cell r="E1586">
            <v>0</v>
          </cell>
          <cell r="F1586">
            <v>0</v>
          </cell>
          <cell r="G1586">
            <v>0</v>
          </cell>
          <cell r="H1586">
            <v>0</v>
          </cell>
          <cell r="I1586">
            <v>0</v>
          </cell>
          <cell r="J1586">
            <v>0</v>
          </cell>
        </row>
        <row r="1587">
          <cell r="B1587" t="str">
            <v>MNT, Assurance Symphony, NT Meridien</v>
          </cell>
          <cell r="C1587">
            <v>6300</v>
          </cell>
          <cell r="D1587">
            <v>4700</v>
          </cell>
          <cell r="E1587">
            <v>5800</v>
          </cell>
          <cell r="F1587">
            <v>37900</v>
          </cell>
          <cell r="G1587">
            <v>11300</v>
          </cell>
          <cell r="H1587">
            <v>4000</v>
          </cell>
          <cell r="I1587">
            <v>11200000</v>
          </cell>
          <cell r="J1587">
            <v>960000</v>
          </cell>
        </row>
        <row r="1588">
          <cell r="B1588" t="str">
            <v>MNT, Assurance Symphony, NT Meridien 7*24</v>
          </cell>
          <cell r="C1588">
            <v>7300</v>
          </cell>
          <cell r="D1588">
            <v>5500</v>
          </cell>
          <cell r="E1588">
            <v>6700</v>
          </cell>
          <cell r="F1588">
            <v>43900</v>
          </cell>
          <cell r="G1588">
            <v>13100</v>
          </cell>
          <cell r="H1588">
            <v>4600</v>
          </cell>
          <cell r="I1588">
            <v>13000000</v>
          </cell>
          <cell r="J1588">
            <v>1110000</v>
          </cell>
        </row>
        <row r="1589">
          <cell r="B1589" t="str">
            <v>MNT, Assurance Symphony Univ, NT Meridien</v>
          </cell>
          <cell r="C1589">
            <v>6824</v>
          </cell>
          <cell r="D1589">
            <v>5100</v>
          </cell>
          <cell r="E1589">
            <v>6300</v>
          </cell>
          <cell r="F1589">
            <v>41000</v>
          </cell>
          <cell r="G1589">
            <v>12200</v>
          </cell>
          <cell r="H1589">
            <v>4300</v>
          </cell>
          <cell r="I1589">
            <v>12100000</v>
          </cell>
          <cell r="J1589">
            <v>1040000</v>
          </cell>
        </row>
        <row r="1590">
          <cell r="B1590" t="str">
            <v>MNT, Assurance Symphony Univ, NT Meridien 7*24</v>
          </cell>
          <cell r="C1590">
            <v>7824</v>
          </cell>
          <cell r="D1590">
            <v>5900</v>
          </cell>
          <cell r="E1590">
            <v>7200</v>
          </cell>
          <cell r="F1590">
            <v>47000</v>
          </cell>
          <cell r="G1590">
            <v>14000</v>
          </cell>
          <cell r="H1590">
            <v>5000</v>
          </cell>
          <cell r="I1590">
            <v>13900000</v>
          </cell>
          <cell r="J1590">
            <v>1190000</v>
          </cell>
        </row>
        <row r="1591">
          <cell r="B1591" t="str">
            <v xml:space="preserve">MNT, Assurance Softimage| DS, </v>
          </cell>
          <cell r="C1591">
            <v>5775</v>
          </cell>
          <cell r="D1591">
            <v>4300</v>
          </cell>
          <cell r="E1591">
            <v>5300</v>
          </cell>
          <cell r="F1591">
            <v>34700</v>
          </cell>
          <cell r="G1591">
            <v>10300</v>
          </cell>
          <cell r="H1591">
            <v>3700</v>
          </cell>
          <cell r="I1591">
            <v>10200000</v>
          </cell>
          <cell r="J1591">
            <v>880000</v>
          </cell>
        </row>
        <row r="1592">
          <cell r="B1592" t="str">
            <v>MNT, Assurance 9000 MacABVB 3D</v>
          </cell>
          <cell r="C1592">
            <v>3239</v>
          </cell>
          <cell r="D1592">
            <v>2400</v>
          </cell>
          <cell r="E1592">
            <v>3000</v>
          </cell>
          <cell r="F1592">
            <v>19500</v>
          </cell>
          <cell r="G1592">
            <v>5800</v>
          </cell>
          <cell r="H1592">
            <v>2100</v>
          </cell>
          <cell r="I1592">
            <v>5700000</v>
          </cell>
          <cell r="J1592">
            <v>490000</v>
          </cell>
        </row>
        <row r="1593">
          <cell r="B1593" t="str">
            <v>MNT, Assurance 9000 MacABVB  3D 7*24</v>
          </cell>
          <cell r="C1593">
            <v>4239</v>
          </cell>
          <cell r="D1593">
            <v>3200</v>
          </cell>
          <cell r="E1593">
            <v>3900</v>
          </cell>
          <cell r="F1593">
            <v>25500</v>
          </cell>
          <cell r="G1593">
            <v>7600</v>
          </cell>
          <cell r="H1593">
            <v>2700</v>
          </cell>
          <cell r="I1593">
            <v>7500000</v>
          </cell>
          <cell r="J1593">
            <v>650000</v>
          </cell>
        </row>
        <row r="1594">
          <cell r="B1594" t="str">
            <v>MNT, Assurance MC1000 MacABVB</v>
          </cell>
          <cell r="C1594">
            <v>2639</v>
          </cell>
          <cell r="D1594">
            <v>2000</v>
          </cell>
          <cell r="E1594">
            <v>2400</v>
          </cell>
          <cell r="F1594">
            <v>15900</v>
          </cell>
          <cell r="G1594">
            <v>4700</v>
          </cell>
          <cell r="H1594">
            <v>1700</v>
          </cell>
          <cell r="I1594">
            <v>4700000</v>
          </cell>
          <cell r="J1594">
            <v>400000</v>
          </cell>
        </row>
        <row r="1595">
          <cell r="B1595" t="str">
            <v>MNT, Assurance MC1000 MacABVB 7*24</v>
          </cell>
          <cell r="C1595">
            <v>3639</v>
          </cell>
          <cell r="D1595">
            <v>2700</v>
          </cell>
          <cell r="E1595">
            <v>3300</v>
          </cell>
          <cell r="F1595">
            <v>21900</v>
          </cell>
          <cell r="G1595">
            <v>6500</v>
          </cell>
          <cell r="H1595">
            <v>2300</v>
          </cell>
          <cell r="I1595">
            <v>6500000</v>
          </cell>
          <cell r="J1595">
            <v>550000</v>
          </cell>
        </row>
        <row r="1596">
          <cell r="B1596" t="str">
            <v>MNT, Assurance FilmComposer MacABVB</v>
          </cell>
          <cell r="C1596">
            <v>2639</v>
          </cell>
          <cell r="D1596">
            <v>2000</v>
          </cell>
          <cell r="E1596">
            <v>2400</v>
          </cell>
          <cell r="F1596">
            <v>15900</v>
          </cell>
          <cell r="G1596">
            <v>4700</v>
          </cell>
          <cell r="H1596">
            <v>1700</v>
          </cell>
          <cell r="I1596">
            <v>4700000</v>
          </cell>
          <cell r="J1596">
            <v>400000</v>
          </cell>
        </row>
        <row r="1597">
          <cell r="B1597" t="str">
            <v>MNT, Assurance FilmComposer MacABVB 7*24</v>
          </cell>
          <cell r="C1597">
            <v>3639</v>
          </cell>
          <cell r="D1597">
            <v>2700</v>
          </cell>
          <cell r="E1597">
            <v>3300</v>
          </cell>
          <cell r="F1597">
            <v>21900</v>
          </cell>
          <cell r="G1597">
            <v>6500</v>
          </cell>
          <cell r="H1597">
            <v>2300</v>
          </cell>
          <cell r="I1597">
            <v>6500000</v>
          </cell>
          <cell r="J1597">
            <v>550000</v>
          </cell>
        </row>
        <row r="1598">
          <cell r="B1598" t="str">
            <v>MNT, Assurance Offline MacABVB</v>
          </cell>
          <cell r="C1598">
            <v>2639</v>
          </cell>
          <cell r="D1598">
            <v>2000</v>
          </cell>
          <cell r="E1598">
            <v>2400</v>
          </cell>
          <cell r="F1598">
            <v>15900</v>
          </cell>
          <cell r="G1598">
            <v>4700</v>
          </cell>
          <cell r="H1598">
            <v>1700</v>
          </cell>
          <cell r="I1598">
            <v>4700000</v>
          </cell>
          <cell r="J1598">
            <v>400000</v>
          </cell>
        </row>
        <row r="1599">
          <cell r="B1599" t="str">
            <v>MNT, Assurance Offline MAcABVB 7*24</v>
          </cell>
          <cell r="C1599">
            <v>3639</v>
          </cell>
          <cell r="D1599">
            <v>2700</v>
          </cell>
          <cell r="E1599">
            <v>3300</v>
          </cell>
          <cell r="F1599">
            <v>21900</v>
          </cell>
          <cell r="G1599">
            <v>6500</v>
          </cell>
          <cell r="H1599">
            <v>2300</v>
          </cell>
          <cell r="I1599">
            <v>6500000</v>
          </cell>
          <cell r="J1599">
            <v>550000</v>
          </cell>
        </row>
        <row r="1600">
          <cell r="B1600" t="str">
            <v>MNT, Assurance Media Station MacABVB</v>
          </cell>
          <cell r="C1600">
            <v>1794</v>
          </cell>
          <cell r="D1600">
            <v>1300</v>
          </cell>
          <cell r="E1600">
            <v>1600</v>
          </cell>
          <cell r="F1600">
            <v>10800</v>
          </cell>
          <cell r="G1600">
            <v>3200</v>
          </cell>
          <cell r="H1600">
            <v>1100</v>
          </cell>
          <cell r="I1600">
            <v>3200000</v>
          </cell>
          <cell r="J1600">
            <v>270000</v>
          </cell>
        </row>
        <row r="1601">
          <cell r="B1601" t="str">
            <v>MNT, Assurance Media Station MacABVB 7*24</v>
          </cell>
          <cell r="C1601">
            <v>2794</v>
          </cell>
          <cell r="D1601">
            <v>2100</v>
          </cell>
          <cell r="E1601">
            <v>2600</v>
          </cell>
          <cell r="F1601">
            <v>16800</v>
          </cell>
          <cell r="G1601">
            <v>5000</v>
          </cell>
          <cell r="H1601">
            <v>1800</v>
          </cell>
          <cell r="I1601">
            <v>5000000</v>
          </cell>
          <cell r="J1601">
            <v>430000</v>
          </cell>
        </row>
        <row r="1602">
          <cell r="B1602" t="str">
            <v>MNT, Assurance, 1000XL Mac Meridien</v>
          </cell>
          <cell r="C1602">
            <v>2639</v>
          </cell>
          <cell r="D1602">
            <v>2000</v>
          </cell>
          <cell r="E1602">
            <v>2400</v>
          </cell>
          <cell r="F1602">
            <v>15900</v>
          </cell>
          <cell r="G1602">
            <v>4700</v>
          </cell>
          <cell r="H1602">
            <v>1700</v>
          </cell>
          <cell r="I1602">
            <v>4700000</v>
          </cell>
          <cell r="J1602">
            <v>400000</v>
          </cell>
        </row>
        <row r="1603">
          <cell r="B1603" t="str">
            <v>MNT, Assurance, 1000XL Mac Meridien w/7*24</v>
          </cell>
          <cell r="C1603">
            <v>3639</v>
          </cell>
          <cell r="D1603">
            <v>2700</v>
          </cell>
          <cell r="E1603">
            <v>3300</v>
          </cell>
          <cell r="F1603">
            <v>21900</v>
          </cell>
          <cell r="G1603">
            <v>6500</v>
          </cell>
          <cell r="H1603">
            <v>2300</v>
          </cell>
          <cell r="I1603">
            <v>6500000</v>
          </cell>
          <cell r="J1603">
            <v>550000</v>
          </cell>
        </row>
        <row r="1604">
          <cell r="B1604" t="str">
            <v>MNT, Assurance 1000XL Mac Mer 3D</v>
          </cell>
          <cell r="C1604">
            <v>2639</v>
          </cell>
          <cell r="D1604">
            <v>2000</v>
          </cell>
          <cell r="E1604">
            <v>2400</v>
          </cell>
          <cell r="F1604">
            <v>15900</v>
          </cell>
          <cell r="G1604">
            <v>4700</v>
          </cell>
          <cell r="H1604">
            <v>1700</v>
          </cell>
          <cell r="I1604">
            <v>4700000</v>
          </cell>
          <cell r="J1604">
            <v>400000</v>
          </cell>
        </row>
        <row r="1605">
          <cell r="B1605" t="str">
            <v>MNT, Assurance 1000XL Mac Mer 3D 7*24</v>
          </cell>
          <cell r="C1605">
            <v>3639</v>
          </cell>
          <cell r="D1605">
            <v>2700</v>
          </cell>
          <cell r="E1605">
            <v>3300</v>
          </cell>
          <cell r="F1605">
            <v>21900</v>
          </cell>
          <cell r="G1605">
            <v>6500</v>
          </cell>
          <cell r="H1605">
            <v>2300</v>
          </cell>
          <cell r="I1605">
            <v>6500000</v>
          </cell>
          <cell r="J1605">
            <v>550000</v>
          </cell>
        </row>
        <row r="1606">
          <cell r="B1606" t="str">
            <v>MNT, Assurance Offline MacMeridien</v>
          </cell>
          <cell r="C1606">
            <v>2639</v>
          </cell>
          <cell r="D1606">
            <v>2000</v>
          </cell>
          <cell r="E1606">
            <v>2400</v>
          </cell>
          <cell r="F1606">
            <v>15900</v>
          </cell>
          <cell r="G1606">
            <v>4700</v>
          </cell>
          <cell r="H1606">
            <v>1700</v>
          </cell>
          <cell r="I1606">
            <v>4700000</v>
          </cell>
          <cell r="J1606">
            <v>400000</v>
          </cell>
        </row>
        <row r="1607">
          <cell r="B1607" t="str">
            <v>MNT, Assurance Offline MacMeridien 7*24</v>
          </cell>
          <cell r="C1607">
            <v>3639</v>
          </cell>
          <cell r="D1607">
            <v>2700</v>
          </cell>
          <cell r="E1607">
            <v>3300</v>
          </cell>
          <cell r="F1607">
            <v>21900</v>
          </cell>
          <cell r="G1607">
            <v>6500</v>
          </cell>
          <cell r="H1607">
            <v>2300</v>
          </cell>
          <cell r="I1607">
            <v>6500000</v>
          </cell>
          <cell r="J1607">
            <v>550000</v>
          </cell>
        </row>
        <row r="1608">
          <cell r="B1608" t="str">
            <v>MNT, Assurance  Offline Mac Mer 3D</v>
          </cell>
          <cell r="C1608">
            <v>2639</v>
          </cell>
          <cell r="D1608">
            <v>2000</v>
          </cell>
          <cell r="E1608">
            <v>2400</v>
          </cell>
          <cell r="F1608">
            <v>15900</v>
          </cell>
          <cell r="G1608">
            <v>4700</v>
          </cell>
          <cell r="H1608">
            <v>1700</v>
          </cell>
          <cell r="I1608">
            <v>4700000</v>
          </cell>
          <cell r="J1608">
            <v>400000</v>
          </cell>
        </row>
        <row r="1609">
          <cell r="B1609" t="str">
            <v>MNT, Assurance  Offline Mac Mer 3D 7*24</v>
          </cell>
          <cell r="C1609">
            <v>3639</v>
          </cell>
          <cell r="D1609">
            <v>2700</v>
          </cell>
          <cell r="E1609">
            <v>3300</v>
          </cell>
          <cell r="F1609">
            <v>21900</v>
          </cell>
          <cell r="G1609">
            <v>6500</v>
          </cell>
          <cell r="H1609">
            <v>2300</v>
          </cell>
          <cell r="I1609">
            <v>6500000</v>
          </cell>
          <cell r="J1609">
            <v>550000</v>
          </cell>
        </row>
        <row r="1610">
          <cell r="B1610" t="str">
            <v>MNT, Assurance 9000XL NT Mer 3D</v>
          </cell>
          <cell r="C1610">
            <v>4094</v>
          </cell>
          <cell r="D1610">
            <v>3100</v>
          </cell>
          <cell r="E1610">
            <v>3800</v>
          </cell>
          <cell r="F1610">
            <v>24600</v>
          </cell>
          <cell r="G1610">
            <v>7300</v>
          </cell>
          <cell r="H1610">
            <v>2600</v>
          </cell>
          <cell r="I1610">
            <v>7300000</v>
          </cell>
          <cell r="J1610">
            <v>620000</v>
          </cell>
        </row>
        <row r="1611">
          <cell r="B1611" t="str">
            <v>MNT, Assurance 9000XL NT Mer 3D 7*24</v>
          </cell>
          <cell r="C1611">
            <v>4828</v>
          </cell>
          <cell r="D1611">
            <v>3600</v>
          </cell>
          <cell r="E1611">
            <v>4400</v>
          </cell>
          <cell r="F1611">
            <v>29000</v>
          </cell>
          <cell r="G1611">
            <v>8700</v>
          </cell>
          <cell r="H1611">
            <v>3100</v>
          </cell>
          <cell r="I1611">
            <v>8600000</v>
          </cell>
          <cell r="J1611">
            <v>740000</v>
          </cell>
        </row>
        <row r="1612">
          <cell r="B1612" t="str">
            <v>MNT, Assurance, 1000XL NT Meridien</v>
          </cell>
          <cell r="C1612">
            <v>2729</v>
          </cell>
          <cell r="D1612">
            <v>2000</v>
          </cell>
          <cell r="E1612">
            <v>2500</v>
          </cell>
          <cell r="F1612">
            <v>16400</v>
          </cell>
          <cell r="G1612">
            <v>4900</v>
          </cell>
          <cell r="H1612">
            <v>1700</v>
          </cell>
          <cell r="I1612">
            <v>4800000</v>
          </cell>
          <cell r="J1612">
            <v>420000</v>
          </cell>
        </row>
        <row r="1613">
          <cell r="B1613" t="str">
            <v>MNT, Assurance, 1000XL NT Meridien w/7*24</v>
          </cell>
          <cell r="C1613">
            <v>3729</v>
          </cell>
          <cell r="D1613">
            <v>2800</v>
          </cell>
          <cell r="E1613">
            <v>3400</v>
          </cell>
          <cell r="F1613">
            <v>22400</v>
          </cell>
          <cell r="G1613">
            <v>6700</v>
          </cell>
          <cell r="H1613">
            <v>2400</v>
          </cell>
          <cell r="I1613">
            <v>6600000</v>
          </cell>
          <cell r="J1613">
            <v>570000</v>
          </cell>
        </row>
        <row r="1614">
          <cell r="B1614" t="str">
            <v>MNT, Assurance 1000XL NT Mer 3D</v>
          </cell>
          <cell r="C1614">
            <v>3359</v>
          </cell>
          <cell r="D1614">
            <v>2500</v>
          </cell>
          <cell r="E1614">
            <v>3100</v>
          </cell>
          <cell r="F1614">
            <v>20200</v>
          </cell>
          <cell r="G1614">
            <v>6000</v>
          </cell>
          <cell r="H1614">
            <v>2100</v>
          </cell>
          <cell r="I1614">
            <v>6000000</v>
          </cell>
          <cell r="J1614">
            <v>510000</v>
          </cell>
        </row>
        <row r="1615">
          <cell r="B1615" t="str">
            <v>MNT, Assurance 1000XL NT Mer 3D 7*24</v>
          </cell>
          <cell r="C1615">
            <v>4359</v>
          </cell>
          <cell r="D1615">
            <v>3300</v>
          </cell>
          <cell r="E1615">
            <v>4000</v>
          </cell>
          <cell r="F1615">
            <v>26200</v>
          </cell>
          <cell r="G1615">
            <v>7800</v>
          </cell>
          <cell r="H1615">
            <v>2800</v>
          </cell>
          <cell r="I1615">
            <v>7700000</v>
          </cell>
          <cell r="J1615">
            <v>660000</v>
          </cell>
        </row>
        <row r="1616">
          <cell r="B1616" t="str">
            <v>MNT, Assurance FilmComposer NT Meridien</v>
          </cell>
          <cell r="C1616">
            <v>3254</v>
          </cell>
          <cell r="D1616">
            <v>2400</v>
          </cell>
          <cell r="E1616">
            <v>3000</v>
          </cell>
          <cell r="F1616">
            <v>19600</v>
          </cell>
          <cell r="G1616">
            <v>5800</v>
          </cell>
          <cell r="H1616">
            <v>2100</v>
          </cell>
          <cell r="I1616">
            <v>5800000</v>
          </cell>
          <cell r="J1616">
            <v>500000</v>
          </cell>
        </row>
        <row r="1617">
          <cell r="B1617" t="str">
            <v>MNT, Assurance FilmComposer NT Meridien 7*24</v>
          </cell>
          <cell r="C1617">
            <v>4254</v>
          </cell>
          <cell r="D1617">
            <v>3200</v>
          </cell>
          <cell r="E1617">
            <v>3900</v>
          </cell>
          <cell r="F1617">
            <v>25600</v>
          </cell>
          <cell r="G1617">
            <v>7600</v>
          </cell>
          <cell r="H1617">
            <v>2700</v>
          </cell>
          <cell r="I1617">
            <v>7500000</v>
          </cell>
          <cell r="J1617">
            <v>650000</v>
          </cell>
        </row>
        <row r="1618">
          <cell r="B1618" t="str">
            <v>MNT, Assurance Offline NT Meridien</v>
          </cell>
          <cell r="C1618">
            <v>2729</v>
          </cell>
          <cell r="D1618">
            <v>2000</v>
          </cell>
          <cell r="E1618">
            <v>2500</v>
          </cell>
          <cell r="F1618">
            <v>16400</v>
          </cell>
          <cell r="G1618">
            <v>4900</v>
          </cell>
          <cell r="H1618">
            <v>1700</v>
          </cell>
          <cell r="I1618">
            <v>4800000</v>
          </cell>
          <cell r="J1618">
            <v>420000</v>
          </cell>
        </row>
        <row r="1619">
          <cell r="B1619" t="str">
            <v>MNT, Assurance Offline NT Meridien 7*24</v>
          </cell>
          <cell r="C1619">
            <v>3729</v>
          </cell>
          <cell r="D1619">
            <v>2800</v>
          </cell>
          <cell r="E1619">
            <v>3400</v>
          </cell>
          <cell r="F1619">
            <v>22400</v>
          </cell>
          <cell r="G1619">
            <v>6700</v>
          </cell>
          <cell r="H1619">
            <v>2400</v>
          </cell>
          <cell r="I1619">
            <v>6600000</v>
          </cell>
          <cell r="J1619">
            <v>570000</v>
          </cell>
        </row>
        <row r="1620">
          <cell r="B1620" t="str">
            <v>MNT, Assurance Xpress MAcABVB</v>
          </cell>
          <cell r="C1620">
            <v>1570</v>
          </cell>
          <cell r="D1620">
            <v>1200</v>
          </cell>
          <cell r="E1620">
            <v>1400</v>
          </cell>
          <cell r="F1620">
            <v>9400</v>
          </cell>
          <cell r="G1620">
            <v>2800</v>
          </cell>
          <cell r="H1620">
            <v>1000</v>
          </cell>
          <cell r="I1620">
            <v>2800000</v>
          </cell>
          <cell r="J1620">
            <v>240000</v>
          </cell>
        </row>
        <row r="1621">
          <cell r="B1621" t="str">
            <v>MNT, Assurance Xpress MAcABVB 7*24</v>
          </cell>
          <cell r="C1621">
            <v>2570</v>
          </cell>
          <cell r="D1621">
            <v>1900</v>
          </cell>
          <cell r="E1621">
            <v>2400</v>
          </cell>
          <cell r="F1621">
            <v>15400</v>
          </cell>
          <cell r="G1621">
            <v>4600</v>
          </cell>
          <cell r="H1621">
            <v>1600</v>
          </cell>
          <cell r="I1621">
            <v>4600000</v>
          </cell>
          <cell r="J1621">
            <v>390000</v>
          </cell>
        </row>
        <row r="1622">
          <cell r="B1622" t="str">
            <v>MNT, Assurance Xpress Plus Mac Meridien</v>
          </cell>
          <cell r="C1622">
            <v>1570</v>
          </cell>
          <cell r="D1622">
            <v>1200</v>
          </cell>
          <cell r="E1622">
            <v>1400</v>
          </cell>
          <cell r="F1622">
            <v>9400</v>
          </cell>
          <cell r="G1622">
            <v>2800</v>
          </cell>
          <cell r="H1622">
            <v>1000</v>
          </cell>
          <cell r="I1622">
            <v>2800000</v>
          </cell>
          <cell r="J1622">
            <v>240000</v>
          </cell>
        </row>
        <row r="1623">
          <cell r="B1623" t="str">
            <v>MNT, Assurance Xpress Plus Mac Meridien 7*24</v>
          </cell>
          <cell r="C1623">
            <v>2570</v>
          </cell>
          <cell r="D1623">
            <v>1900</v>
          </cell>
          <cell r="E1623">
            <v>2400</v>
          </cell>
          <cell r="F1623">
            <v>15400</v>
          </cell>
          <cell r="G1623">
            <v>4600</v>
          </cell>
          <cell r="H1623">
            <v>1600</v>
          </cell>
          <cell r="I1623">
            <v>4600000</v>
          </cell>
          <cell r="J1623">
            <v>390000</v>
          </cell>
        </row>
        <row r="1624">
          <cell r="B1624" t="str">
            <v>MNT, Assurance Xpress Del Mac Meridien</v>
          </cell>
          <cell r="C1624">
            <v>1570</v>
          </cell>
          <cell r="D1624">
            <v>1200</v>
          </cell>
          <cell r="E1624">
            <v>1400</v>
          </cell>
          <cell r="F1624">
            <v>9400</v>
          </cell>
          <cell r="G1624">
            <v>2800</v>
          </cell>
          <cell r="H1624">
            <v>1000</v>
          </cell>
          <cell r="I1624">
            <v>2800000</v>
          </cell>
          <cell r="J1624">
            <v>240000</v>
          </cell>
        </row>
        <row r="1625">
          <cell r="B1625" t="str">
            <v>MNT, Assurance Xpress Del Mac Meridien 7*24</v>
          </cell>
          <cell r="C1625">
            <v>2570</v>
          </cell>
          <cell r="D1625">
            <v>1900</v>
          </cell>
          <cell r="E1625">
            <v>2400</v>
          </cell>
          <cell r="F1625">
            <v>15400</v>
          </cell>
          <cell r="G1625">
            <v>4600</v>
          </cell>
          <cell r="H1625">
            <v>1600</v>
          </cell>
          <cell r="I1625">
            <v>4600000</v>
          </cell>
          <cell r="J1625">
            <v>390000</v>
          </cell>
        </row>
        <row r="1626">
          <cell r="B1626" t="str">
            <v>MNT, Assurance Xpress EliteMac Meridien</v>
          </cell>
          <cell r="C1626">
            <v>1570</v>
          </cell>
          <cell r="D1626">
            <v>1200</v>
          </cell>
          <cell r="E1626">
            <v>1400</v>
          </cell>
          <cell r="F1626">
            <v>9400</v>
          </cell>
          <cell r="G1626">
            <v>2800</v>
          </cell>
          <cell r="H1626">
            <v>1000</v>
          </cell>
          <cell r="I1626">
            <v>2800000</v>
          </cell>
          <cell r="J1626">
            <v>240000</v>
          </cell>
        </row>
        <row r="1627">
          <cell r="B1627" t="str">
            <v>MNT, Assurance Xpress EliteMac Meridien 7*24</v>
          </cell>
          <cell r="C1627">
            <v>2570</v>
          </cell>
          <cell r="D1627">
            <v>1900</v>
          </cell>
          <cell r="E1627">
            <v>2400</v>
          </cell>
          <cell r="F1627">
            <v>15400</v>
          </cell>
          <cell r="G1627">
            <v>4600</v>
          </cell>
          <cell r="H1627">
            <v>1600</v>
          </cell>
          <cell r="I1627">
            <v>4600000</v>
          </cell>
          <cell r="J1627">
            <v>390000</v>
          </cell>
        </row>
        <row r="1628">
          <cell r="B1628" t="str">
            <v>MNT, Assurance Xpress Plus NT Meridien</v>
          </cell>
          <cell r="C1628">
            <v>1780</v>
          </cell>
          <cell r="D1628">
            <v>1300</v>
          </cell>
          <cell r="E1628">
            <v>1600</v>
          </cell>
          <cell r="F1628">
            <v>10700</v>
          </cell>
          <cell r="G1628">
            <v>3200</v>
          </cell>
          <cell r="H1628">
            <v>1100</v>
          </cell>
          <cell r="I1628">
            <v>3200000</v>
          </cell>
          <cell r="J1628">
            <v>270000</v>
          </cell>
        </row>
        <row r="1629">
          <cell r="B1629" t="str">
            <v>MNT, Assurance Xpress Plus NT Meridien 7*24</v>
          </cell>
          <cell r="C1629">
            <v>2780</v>
          </cell>
          <cell r="D1629">
            <v>2100</v>
          </cell>
          <cell r="E1629">
            <v>2500</v>
          </cell>
          <cell r="F1629">
            <v>16700</v>
          </cell>
          <cell r="G1629">
            <v>5000</v>
          </cell>
          <cell r="H1629">
            <v>1800</v>
          </cell>
          <cell r="I1629">
            <v>4900000</v>
          </cell>
          <cell r="J1629">
            <v>420000</v>
          </cell>
        </row>
        <row r="1630">
          <cell r="B1630" t="str">
            <v>MNT, Assurance Xpress Del NT Meridien</v>
          </cell>
          <cell r="C1630">
            <v>1780</v>
          </cell>
          <cell r="D1630">
            <v>1300</v>
          </cell>
          <cell r="E1630">
            <v>1600</v>
          </cell>
          <cell r="F1630">
            <v>10700</v>
          </cell>
          <cell r="G1630">
            <v>3200</v>
          </cell>
          <cell r="H1630">
            <v>1100</v>
          </cell>
          <cell r="I1630">
            <v>3200000</v>
          </cell>
          <cell r="J1630">
            <v>270000</v>
          </cell>
        </row>
        <row r="1631">
          <cell r="B1631" t="str">
            <v>MNT, Assurance Xpress Del NT Meridien 7*24</v>
          </cell>
          <cell r="C1631">
            <v>2780</v>
          </cell>
          <cell r="D1631">
            <v>2100</v>
          </cell>
          <cell r="E1631">
            <v>2500</v>
          </cell>
          <cell r="F1631">
            <v>16700</v>
          </cell>
          <cell r="G1631">
            <v>5000</v>
          </cell>
          <cell r="H1631">
            <v>1800</v>
          </cell>
          <cell r="I1631">
            <v>4900000</v>
          </cell>
          <cell r="J1631">
            <v>420000</v>
          </cell>
        </row>
        <row r="1632">
          <cell r="B1632" t="str">
            <v>MNT, Assurance Xpress Elite NT Meridien</v>
          </cell>
          <cell r="C1632">
            <v>1780</v>
          </cell>
          <cell r="D1632">
            <v>1300</v>
          </cell>
          <cell r="E1632">
            <v>1600</v>
          </cell>
          <cell r="F1632">
            <v>10700</v>
          </cell>
          <cell r="G1632">
            <v>3200</v>
          </cell>
          <cell r="H1632">
            <v>1100</v>
          </cell>
          <cell r="I1632">
            <v>3200000</v>
          </cell>
          <cell r="J1632">
            <v>270000</v>
          </cell>
        </row>
        <row r="1633">
          <cell r="B1633" t="str">
            <v>MNT, Assurance Xpress Elite NT Meridien 7*24</v>
          </cell>
          <cell r="C1633">
            <v>2780</v>
          </cell>
          <cell r="D1633">
            <v>2100</v>
          </cell>
          <cell r="E1633">
            <v>2500</v>
          </cell>
          <cell r="F1633">
            <v>16700</v>
          </cell>
          <cell r="G1633">
            <v>5000</v>
          </cell>
          <cell r="H1633">
            <v>1800</v>
          </cell>
          <cell r="I1633">
            <v>4900000</v>
          </cell>
          <cell r="J1633">
            <v>420000</v>
          </cell>
        </row>
        <row r="1634">
          <cell r="B1634" t="str">
            <v xml:space="preserve">MNT, Assurance MediaNet,  </v>
          </cell>
          <cell r="C1634">
            <v>2309</v>
          </cell>
          <cell r="D1634">
            <v>1700</v>
          </cell>
          <cell r="E1634">
            <v>2100</v>
          </cell>
          <cell r="F1634">
            <v>13900</v>
          </cell>
          <cell r="G1634">
            <v>4100</v>
          </cell>
          <cell r="H1634">
            <v>1500</v>
          </cell>
          <cell r="I1634">
            <v>4100000</v>
          </cell>
          <cell r="J1634">
            <v>350000</v>
          </cell>
        </row>
        <row r="1635">
          <cell r="B1635" t="str">
            <v>MNT, Assurance MediaNet,  24*7</v>
          </cell>
          <cell r="C1635">
            <v>3309</v>
          </cell>
          <cell r="D1635">
            <v>2500</v>
          </cell>
          <cell r="E1635">
            <v>3000</v>
          </cell>
          <cell r="F1635">
            <v>19900</v>
          </cell>
          <cell r="G1635">
            <v>5900</v>
          </cell>
          <cell r="H1635">
            <v>2100</v>
          </cell>
          <cell r="I1635">
            <v>5900000</v>
          </cell>
          <cell r="J1635">
            <v>500000</v>
          </cell>
        </row>
        <row r="1636">
          <cell r="B1636" t="str">
            <v>MNT, Assurance On-Site MediaNet</v>
          </cell>
          <cell r="C1636">
            <v>5984</v>
          </cell>
          <cell r="D1636">
            <v>4500</v>
          </cell>
          <cell r="E1636">
            <v>5500</v>
          </cell>
          <cell r="F1636">
            <v>36000</v>
          </cell>
          <cell r="G1636">
            <v>10700</v>
          </cell>
          <cell r="H1636">
            <v>3800</v>
          </cell>
          <cell r="I1636">
            <v>10600000</v>
          </cell>
          <cell r="J1636">
            <v>910000</v>
          </cell>
        </row>
        <row r="1637">
          <cell r="B1637" t="str">
            <v>MNT, Assurance On-site MediaNet 24*7</v>
          </cell>
          <cell r="C1637">
            <v>6984</v>
          </cell>
          <cell r="D1637">
            <v>5200</v>
          </cell>
          <cell r="E1637">
            <v>6400</v>
          </cell>
          <cell r="F1637">
            <v>42000</v>
          </cell>
          <cell r="G1637">
            <v>12500</v>
          </cell>
          <cell r="H1637">
            <v>4400</v>
          </cell>
          <cell r="I1637">
            <v>12400000</v>
          </cell>
          <cell r="J1637">
            <v>1060000</v>
          </cell>
        </row>
        <row r="1638">
          <cell r="B1638" t="str">
            <v>MNT, Assurance MediaNET, add MediaARRAY</v>
          </cell>
          <cell r="C1638">
            <v>310</v>
          </cell>
          <cell r="D1638">
            <v>200</v>
          </cell>
          <cell r="E1638">
            <v>300</v>
          </cell>
          <cell r="F1638">
            <v>1900</v>
          </cell>
          <cell r="G1638">
            <v>600</v>
          </cell>
          <cell r="H1638">
            <v>200</v>
          </cell>
          <cell r="I1638">
            <v>500000</v>
          </cell>
          <cell r="J1638">
            <v>50000</v>
          </cell>
        </row>
        <row r="1639">
          <cell r="B1639" t="str">
            <v>MNT, Assurance MediaNET, add MediaSWITCH</v>
          </cell>
          <cell r="C1639">
            <v>735</v>
          </cell>
          <cell r="D1639">
            <v>600</v>
          </cell>
          <cell r="E1639">
            <v>700</v>
          </cell>
          <cell r="F1639">
            <v>4400</v>
          </cell>
          <cell r="G1639">
            <v>1300</v>
          </cell>
          <cell r="H1639">
            <v>500</v>
          </cell>
          <cell r="I1639">
            <v>1300000</v>
          </cell>
          <cell r="J1639">
            <v>110000</v>
          </cell>
        </row>
        <row r="1640">
          <cell r="B1640" t="str">
            <v>MNT, Assurance DS Single Stream</v>
          </cell>
          <cell r="C1640">
            <v>2150</v>
          </cell>
          <cell r="D1640">
            <v>1600</v>
          </cell>
          <cell r="E1640">
            <v>2000</v>
          </cell>
          <cell r="F1640">
            <v>12900</v>
          </cell>
          <cell r="G1640">
            <v>3900</v>
          </cell>
          <cell r="H1640">
            <v>1400</v>
          </cell>
          <cell r="I1640">
            <v>3800000</v>
          </cell>
          <cell r="J1640">
            <v>330000</v>
          </cell>
        </row>
        <row r="1641">
          <cell r="B1641" t="str">
            <v>MNT, Assurance DS Dual Stream</v>
          </cell>
          <cell r="C1641">
            <v>2888</v>
          </cell>
          <cell r="D1641">
            <v>2200</v>
          </cell>
          <cell r="E1641">
            <v>2600</v>
          </cell>
          <cell r="F1641">
            <v>17400</v>
          </cell>
          <cell r="G1641">
            <v>5200</v>
          </cell>
          <cell r="H1641">
            <v>1800</v>
          </cell>
          <cell r="I1641">
            <v>5100000</v>
          </cell>
          <cell r="J1641">
            <v>440000</v>
          </cell>
        </row>
        <row r="1642">
          <cell r="D1642">
            <v>0</v>
          </cell>
          <cell r="E1642">
            <v>0</v>
          </cell>
          <cell r="F1642">
            <v>0</v>
          </cell>
          <cell r="G1642">
            <v>0</v>
          </cell>
          <cell r="H1642">
            <v>0</v>
          </cell>
          <cell r="I1642">
            <v>0</v>
          </cell>
          <cell r="J1642">
            <v>0</v>
          </cell>
        </row>
        <row r="1643">
          <cell r="D1643">
            <v>0</v>
          </cell>
          <cell r="E1643">
            <v>0</v>
          </cell>
          <cell r="F1643">
            <v>0</v>
          </cell>
          <cell r="G1643">
            <v>0</v>
          </cell>
          <cell r="H1643">
            <v>0</v>
          </cell>
          <cell r="I1643">
            <v>0</v>
          </cell>
          <cell r="J1643">
            <v>0</v>
          </cell>
        </row>
        <row r="1644">
          <cell r="D1644">
            <v>0</v>
          </cell>
          <cell r="E1644">
            <v>0</v>
          </cell>
          <cell r="F1644">
            <v>0</v>
          </cell>
          <cell r="G1644">
            <v>0</v>
          </cell>
          <cell r="H1644">
            <v>0</v>
          </cell>
          <cell r="I1644">
            <v>0</v>
          </cell>
          <cell r="J1644">
            <v>0</v>
          </cell>
        </row>
        <row r="1645">
          <cell r="D1645">
            <v>0</v>
          </cell>
          <cell r="E1645">
            <v>0</v>
          </cell>
          <cell r="F1645">
            <v>0</v>
          </cell>
          <cell r="G1645">
            <v>0</v>
          </cell>
          <cell r="H1645">
            <v>0</v>
          </cell>
          <cell r="I1645">
            <v>0</v>
          </cell>
          <cell r="J1645">
            <v>0</v>
          </cell>
        </row>
        <row r="1646">
          <cell r="D1646">
            <v>0</v>
          </cell>
          <cell r="E1646">
            <v>0</v>
          </cell>
          <cell r="F1646">
            <v>0</v>
          </cell>
          <cell r="G1646">
            <v>0</v>
          </cell>
          <cell r="H1646">
            <v>0</v>
          </cell>
          <cell r="I1646">
            <v>0</v>
          </cell>
          <cell r="J1646">
            <v>0</v>
          </cell>
        </row>
        <row r="1647">
          <cell r="D1647">
            <v>0</v>
          </cell>
          <cell r="E1647">
            <v>0</v>
          </cell>
          <cell r="F1647">
            <v>0</v>
          </cell>
          <cell r="G1647">
            <v>0</v>
          </cell>
          <cell r="H1647">
            <v>0</v>
          </cell>
          <cell r="I1647">
            <v>0</v>
          </cell>
          <cell r="J1647">
            <v>0</v>
          </cell>
        </row>
        <row r="1648">
          <cell r="D1648">
            <v>0</v>
          </cell>
          <cell r="E1648">
            <v>0</v>
          </cell>
          <cell r="F1648">
            <v>0</v>
          </cell>
          <cell r="G1648">
            <v>0</v>
          </cell>
          <cell r="H1648">
            <v>0</v>
          </cell>
          <cell r="I1648">
            <v>0</v>
          </cell>
          <cell r="J1648">
            <v>0</v>
          </cell>
        </row>
        <row r="1649">
          <cell r="D1649">
            <v>0</v>
          </cell>
          <cell r="E1649">
            <v>0</v>
          </cell>
          <cell r="F1649">
            <v>0</v>
          </cell>
          <cell r="G1649">
            <v>0</v>
          </cell>
          <cell r="H1649">
            <v>0</v>
          </cell>
          <cell r="I1649">
            <v>0</v>
          </cell>
          <cell r="J1649">
            <v>0</v>
          </cell>
        </row>
        <row r="1650">
          <cell r="D1650">
            <v>0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0</v>
          </cell>
          <cell r="J1650">
            <v>0</v>
          </cell>
        </row>
        <row r="1651">
          <cell r="D1651">
            <v>0</v>
          </cell>
          <cell r="E1651">
            <v>0</v>
          </cell>
          <cell r="F1651">
            <v>0</v>
          </cell>
          <cell r="G1651">
            <v>0</v>
          </cell>
          <cell r="H1651">
            <v>0</v>
          </cell>
          <cell r="I1651">
            <v>0</v>
          </cell>
          <cell r="J1651">
            <v>0</v>
          </cell>
        </row>
        <row r="1652">
          <cell r="D1652">
            <v>0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0</v>
          </cell>
          <cell r="J1652">
            <v>0</v>
          </cell>
        </row>
        <row r="1653">
          <cell r="D1653">
            <v>0</v>
          </cell>
          <cell r="E1653">
            <v>0</v>
          </cell>
          <cell r="F1653">
            <v>0</v>
          </cell>
          <cell r="G1653">
            <v>0</v>
          </cell>
          <cell r="H1653">
            <v>0</v>
          </cell>
          <cell r="I1653">
            <v>0</v>
          </cell>
          <cell r="J1653">
            <v>0</v>
          </cell>
        </row>
        <row r="1654">
          <cell r="D1654">
            <v>0</v>
          </cell>
          <cell r="E1654">
            <v>0</v>
          </cell>
          <cell r="F1654">
            <v>0</v>
          </cell>
          <cell r="G1654">
            <v>0</v>
          </cell>
          <cell r="H1654">
            <v>0</v>
          </cell>
          <cell r="I1654">
            <v>0</v>
          </cell>
          <cell r="J1654">
            <v>0</v>
          </cell>
        </row>
        <row r="1655">
          <cell r="D1655">
            <v>0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0</v>
          </cell>
          <cell r="J1655">
            <v>0</v>
          </cell>
        </row>
        <row r="1656">
          <cell r="D1656">
            <v>0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0</v>
          </cell>
          <cell r="J1656">
            <v>0</v>
          </cell>
        </row>
        <row r="1657">
          <cell r="D1657">
            <v>0</v>
          </cell>
          <cell r="E1657">
            <v>0</v>
          </cell>
          <cell r="F1657">
            <v>0</v>
          </cell>
          <cell r="G1657">
            <v>0</v>
          </cell>
          <cell r="H1657">
            <v>0</v>
          </cell>
          <cell r="I1657">
            <v>0</v>
          </cell>
          <cell r="J1657">
            <v>0</v>
          </cell>
        </row>
        <row r="1658">
          <cell r="D1658">
            <v>0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0</v>
          </cell>
          <cell r="J1658">
            <v>0</v>
          </cell>
        </row>
        <row r="1659">
          <cell r="D1659">
            <v>0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</row>
        <row r="1660">
          <cell r="D1660">
            <v>0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0</v>
          </cell>
          <cell r="J1660">
            <v>0</v>
          </cell>
        </row>
        <row r="1661">
          <cell r="D1661">
            <v>0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0</v>
          </cell>
          <cell r="J1661">
            <v>0</v>
          </cell>
        </row>
        <row r="1662">
          <cell r="D1662">
            <v>0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0</v>
          </cell>
          <cell r="J1662">
            <v>0</v>
          </cell>
        </row>
        <row r="1663">
          <cell r="B1663" t="str">
            <v>Description</v>
          </cell>
          <cell r="C1663" t="str">
            <v>UKP</v>
          </cell>
          <cell r="D1663">
            <v>0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0</v>
          </cell>
          <cell r="J1663">
            <v>0</v>
          </cell>
        </row>
        <row r="1664">
          <cell r="B1664" t="str">
            <v>MNT, Assurance 1000 Mac</v>
          </cell>
          <cell r="C1664">
            <v>2639</v>
          </cell>
          <cell r="D1664">
            <v>2000</v>
          </cell>
          <cell r="E1664">
            <v>2400</v>
          </cell>
          <cell r="F1664">
            <v>15900</v>
          </cell>
          <cell r="G1664">
            <v>4700</v>
          </cell>
          <cell r="H1664">
            <v>1700</v>
          </cell>
          <cell r="I1664">
            <v>4700000</v>
          </cell>
          <cell r="J1664">
            <v>400000</v>
          </cell>
        </row>
        <row r="1665">
          <cell r="B1665" t="str">
            <v>MNT, Assurance 1000 Mac, 7*24</v>
          </cell>
          <cell r="C1665">
            <v>3639</v>
          </cell>
          <cell r="D1665">
            <v>2700</v>
          </cell>
          <cell r="E1665">
            <v>3300</v>
          </cell>
          <cell r="F1665">
            <v>21900</v>
          </cell>
          <cell r="G1665">
            <v>6500</v>
          </cell>
          <cell r="H1665">
            <v>2300</v>
          </cell>
          <cell r="I1665">
            <v>6500000</v>
          </cell>
          <cell r="J1665">
            <v>550000</v>
          </cell>
        </row>
        <row r="1666">
          <cell r="B1666" t="str">
            <v>MNT, Assurance Plus 1000 Mac EHW</v>
          </cell>
          <cell r="C1666">
            <v>4515</v>
          </cell>
          <cell r="D1666">
            <v>3400</v>
          </cell>
          <cell r="E1666">
            <v>4100</v>
          </cell>
          <cell r="F1666">
            <v>27100</v>
          </cell>
          <cell r="G1666">
            <v>8100</v>
          </cell>
          <cell r="H1666">
            <v>2900</v>
          </cell>
          <cell r="I1666">
            <v>8000000</v>
          </cell>
          <cell r="J1666">
            <v>690000</v>
          </cell>
        </row>
        <row r="1667">
          <cell r="B1667" t="str">
            <v>MNT, Assurance Plus 1000 Mac EHW, Genie</v>
          </cell>
          <cell r="C1667">
            <v>5144</v>
          </cell>
          <cell r="D1667">
            <v>3900</v>
          </cell>
          <cell r="E1667">
            <v>4700</v>
          </cell>
          <cell r="F1667">
            <v>30900</v>
          </cell>
          <cell r="G1667">
            <v>9200</v>
          </cell>
          <cell r="H1667">
            <v>3300</v>
          </cell>
          <cell r="I1667">
            <v>9100000</v>
          </cell>
          <cell r="J1667">
            <v>780000</v>
          </cell>
        </row>
        <row r="1668">
          <cell r="B1668" t="str">
            <v>MNT, Assurance Plus 1000 Mac EHW, Alladin</v>
          </cell>
          <cell r="C1668">
            <v>5564</v>
          </cell>
          <cell r="D1668">
            <v>4200</v>
          </cell>
          <cell r="E1668">
            <v>5100</v>
          </cell>
          <cell r="F1668">
            <v>33400</v>
          </cell>
          <cell r="G1668">
            <v>10000</v>
          </cell>
          <cell r="H1668">
            <v>3500</v>
          </cell>
          <cell r="I1668">
            <v>9900000</v>
          </cell>
          <cell r="J1668">
            <v>850000</v>
          </cell>
        </row>
        <row r="1669">
          <cell r="B1669" t="str">
            <v>MNT, Assurance Plus, 1000 Mac EHW, 7*24</v>
          </cell>
          <cell r="C1669">
            <v>5514</v>
          </cell>
          <cell r="D1669">
            <v>4100</v>
          </cell>
          <cell r="E1669">
            <v>5100</v>
          </cell>
          <cell r="F1669">
            <v>33100</v>
          </cell>
          <cell r="G1669">
            <v>9900</v>
          </cell>
          <cell r="H1669">
            <v>3500</v>
          </cell>
          <cell r="I1669">
            <v>9800000</v>
          </cell>
          <cell r="J1669">
            <v>840000</v>
          </cell>
        </row>
        <row r="1670">
          <cell r="B1670" t="str">
            <v>MNT, Assur Plus, 1000 Mac EHW, 7*24, Genie</v>
          </cell>
          <cell r="C1670">
            <v>6144</v>
          </cell>
          <cell r="D1670">
            <v>4600</v>
          </cell>
          <cell r="E1670">
            <v>5600</v>
          </cell>
          <cell r="F1670">
            <v>36900</v>
          </cell>
          <cell r="G1670">
            <v>11000</v>
          </cell>
          <cell r="H1670">
            <v>3900</v>
          </cell>
          <cell r="I1670">
            <v>10900000</v>
          </cell>
          <cell r="J1670">
            <v>940000</v>
          </cell>
        </row>
        <row r="1671">
          <cell r="B1671" t="str">
            <v>MNT, Assur Plus, 1000 Mac EHW, 7*24, Alladin</v>
          </cell>
          <cell r="C1671">
            <v>6564</v>
          </cell>
          <cell r="D1671">
            <v>4900</v>
          </cell>
          <cell r="E1671">
            <v>6000</v>
          </cell>
          <cell r="F1671">
            <v>39500</v>
          </cell>
          <cell r="G1671">
            <v>11800</v>
          </cell>
          <cell r="H1671">
            <v>4200</v>
          </cell>
          <cell r="I1671">
            <v>11600000</v>
          </cell>
          <cell r="J1671">
            <v>1000000</v>
          </cell>
        </row>
        <row r="1672">
          <cell r="B1672" t="str">
            <v>MNT, Assurance 4000 Mac</v>
          </cell>
          <cell r="C1672">
            <v>2639</v>
          </cell>
          <cell r="D1672">
            <v>2000</v>
          </cell>
          <cell r="E1672">
            <v>2400</v>
          </cell>
          <cell r="F1672">
            <v>15900</v>
          </cell>
          <cell r="G1672">
            <v>4700</v>
          </cell>
          <cell r="H1672">
            <v>1700</v>
          </cell>
          <cell r="I1672">
            <v>4700000</v>
          </cell>
          <cell r="J1672">
            <v>400000</v>
          </cell>
        </row>
        <row r="1673">
          <cell r="B1673" t="str">
            <v>MNT, Assurance 4000 Mac, 7*24</v>
          </cell>
          <cell r="C1673">
            <v>3639</v>
          </cell>
          <cell r="D1673">
            <v>2700</v>
          </cell>
          <cell r="E1673">
            <v>3300</v>
          </cell>
          <cell r="F1673">
            <v>21900</v>
          </cell>
          <cell r="G1673">
            <v>6500</v>
          </cell>
          <cell r="H1673">
            <v>2300</v>
          </cell>
          <cell r="I1673">
            <v>6500000</v>
          </cell>
          <cell r="J1673">
            <v>550000</v>
          </cell>
        </row>
        <row r="1674">
          <cell r="B1674" t="str">
            <v>MNT, Assurance Plus 4000 Mac EHW</v>
          </cell>
          <cell r="C1674">
            <v>4514</v>
          </cell>
          <cell r="D1674">
            <v>3400</v>
          </cell>
          <cell r="E1674">
            <v>4100</v>
          </cell>
          <cell r="F1674">
            <v>27100</v>
          </cell>
          <cell r="G1674">
            <v>8100</v>
          </cell>
          <cell r="H1674">
            <v>2900</v>
          </cell>
          <cell r="I1674">
            <v>8000000</v>
          </cell>
          <cell r="J1674">
            <v>690000</v>
          </cell>
        </row>
        <row r="1675">
          <cell r="B1675" t="str">
            <v>MNT, Assurance Plus 4000 Mac EHW, Genie</v>
          </cell>
          <cell r="C1675">
            <v>5144</v>
          </cell>
          <cell r="D1675">
            <v>3900</v>
          </cell>
          <cell r="E1675">
            <v>4700</v>
          </cell>
          <cell r="F1675">
            <v>30900</v>
          </cell>
          <cell r="G1675">
            <v>9200</v>
          </cell>
          <cell r="H1675">
            <v>3300</v>
          </cell>
          <cell r="I1675">
            <v>9100000</v>
          </cell>
          <cell r="J1675">
            <v>780000</v>
          </cell>
        </row>
        <row r="1676">
          <cell r="B1676" t="str">
            <v>MNT, Assurance Plus 4000 Mac EHW, Alladin</v>
          </cell>
          <cell r="C1676">
            <v>5564</v>
          </cell>
          <cell r="D1676">
            <v>4200</v>
          </cell>
          <cell r="E1676">
            <v>5100</v>
          </cell>
          <cell r="F1676">
            <v>33400</v>
          </cell>
          <cell r="G1676">
            <v>10000</v>
          </cell>
          <cell r="H1676">
            <v>3500</v>
          </cell>
          <cell r="I1676">
            <v>9900000</v>
          </cell>
          <cell r="J1676">
            <v>850000</v>
          </cell>
        </row>
        <row r="1677">
          <cell r="B1677" t="str">
            <v>MNT, Assurance Plus, 4000 Mac EHW, 7*24</v>
          </cell>
          <cell r="C1677">
            <v>5514</v>
          </cell>
          <cell r="D1677">
            <v>4100</v>
          </cell>
          <cell r="E1677">
            <v>5100</v>
          </cell>
          <cell r="F1677">
            <v>33100</v>
          </cell>
          <cell r="G1677">
            <v>9900</v>
          </cell>
          <cell r="H1677">
            <v>3500</v>
          </cell>
          <cell r="I1677">
            <v>9800000</v>
          </cell>
          <cell r="J1677">
            <v>840000</v>
          </cell>
        </row>
        <row r="1678">
          <cell r="B1678" t="str">
            <v>MNT, Assur Plus, 4000 Mac EHW, 7*24, Genie</v>
          </cell>
          <cell r="C1678">
            <v>6144</v>
          </cell>
          <cell r="D1678">
            <v>4600</v>
          </cell>
          <cell r="E1678">
            <v>5600</v>
          </cell>
          <cell r="F1678">
            <v>36900</v>
          </cell>
          <cell r="G1678">
            <v>11000</v>
          </cell>
          <cell r="H1678">
            <v>3900</v>
          </cell>
          <cell r="I1678">
            <v>10900000</v>
          </cell>
          <cell r="J1678">
            <v>940000</v>
          </cell>
        </row>
        <row r="1679">
          <cell r="B1679" t="str">
            <v>MNT, Assur Plus, 4000 Mac EHW, 7*24, Alladin</v>
          </cell>
          <cell r="C1679">
            <v>6564</v>
          </cell>
          <cell r="D1679">
            <v>4900</v>
          </cell>
          <cell r="E1679">
            <v>6000</v>
          </cell>
          <cell r="F1679">
            <v>39500</v>
          </cell>
          <cell r="G1679">
            <v>11800</v>
          </cell>
          <cell r="H1679">
            <v>4200</v>
          </cell>
          <cell r="I1679">
            <v>11600000</v>
          </cell>
          <cell r="J1679">
            <v>1000000</v>
          </cell>
        </row>
        <row r="1680">
          <cell r="B1680" t="str">
            <v>MNT, Assurance 8000 Mac</v>
          </cell>
          <cell r="C1680">
            <v>3239</v>
          </cell>
          <cell r="D1680">
            <v>2400</v>
          </cell>
          <cell r="E1680">
            <v>3000</v>
          </cell>
          <cell r="F1680">
            <v>19500</v>
          </cell>
          <cell r="G1680">
            <v>5800</v>
          </cell>
          <cell r="H1680">
            <v>2100</v>
          </cell>
          <cell r="I1680">
            <v>5700000</v>
          </cell>
          <cell r="J1680">
            <v>490000</v>
          </cell>
        </row>
        <row r="1681">
          <cell r="B1681" t="str">
            <v>MNT, Assurance 8000 Mac, 7*24</v>
          </cell>
          <cell r="C1681">
            <v>4239</v>
          </cell>
          <cell r="D1681">
            <v>3200</v>
          </cell>
          <cell r="E1681">
            <v>3900</v>
          </cell>
          <cell r="F1681">
            <v>25500</v>
          </cell>
          <cell r="G1681">
            <v>7600</v>
          </cell>
          <cell r="H1681">
            <v>2700</v>
          </cell>
          <cell r="I1681">
            <v>7500000</v>
          </cell>
          <cell r="J1681">
            <v>650000</v>
          </cell>
        </row>
        <row r="1682">
          <cell r="B1682" t="str">
            <v>MNT, Assurance Plus 8000 Mac EHW</v>
          </cell>
          <cell r="C1682">
            <v>5144</v>
          </cell>
          <cell r="D1682">
            <v>3900</v>
          </cell>
          <cell r="E1682">
            <v>4700</v>
          </cell>
          <cell r="F1682">
            <v>30900</v>
          </cell>
          <cell r="G1682">
            <v>9200</v>
          </cell>
          <cell r="H1682">
            <v>3300</v>
          </cell>
          <cell r="I1682">
            <v>9100000</v>
          </cell>
          <cell r="J1682">
            <v>780000</v>
          </cell>
        </row>
        <row r="1683">
          <cell r="B1683" t="str">
            <v>MNT, Assurance Plus 8000 Mac EHW, Genie</v>
          </cell>
          <cell r="C1683">
            <v>5774</v>
          </cell>
          <cell r="D1683">
            <v>4300</v>
          </cell>
          <cell r="E1683">
            <v>5300</v>
          </cell>
          <cell r="F1683">
            <v>34700</v>
          </cell>
          <cell r="G1683">
            <v>10300</v>
          </cell>
          <cell r="H1683">
            <v>3700</v>
          </cell>
          <cell r="I1683">
            <v>10200000</v>
          </cell>
          <cell r="J1683">
            <v>880000</v>
          </cell>
        </row>
        <row r="1684">
          <cell r="B1684" t="str">
            <v>MNT, Assurance Plus 8000 Mac EHW, Alladin</v>
          </cell>
          <cell r="C1684">
            <v>6194</v>
          </cell>
          <cell r="D1684">
            <v>4600</v>
          </cell>
          <cell r="E1684">
            <v>5700</v>
          </cell>
          <cell r="F1684">
            <v>37200</v>
          </cell>
          <cell r="G1684">
            <v>11100</v>
          </cell>
          <cell r="H1684">
            <v>3900</v>
          </cell>
          <cell r="I1684">
            <v>11000000</v>
          </cell>
          <cell r="J1684">
            <v>940000</v>
          </cell>
        </row>
        <row r="1685">
          <cell r="B1685" t="str">
            <v>MNT, Assurance Plus, 8000 Mac EHW, 7*24</v>
          </cell>
          <cell r="C1685">
            <v>6144</v>
          </cell>
          <cell r="D1685">
            <v>4600</v>
          </cell>
          <cell r="E1685">
            <v>5600</v>
          </cell>
          <cell r="F1685">
            <v>36900</v>
          </cell>
          <cell r="G1685">
            <v>11000</v>
          </cell>
          <cell r="H1685">
            <v>3900</v>
          </cell>
          <cell r="I1685">
            <v>10900000</v>
          </cell>
          <cell r="J1685">
            <v>940000</v>
          </cell>
        </row>
        <row r="1686">
          <cell r="B1686" t="str">
            <v>MNT, Assur Plus, 8000 Mac EHW, 7*24, Genie</v>
          </cell>
          <cell r="C1686">
            <v>6774</v>
          </cell>
          <cell r="D1686">
            <v>5100</v>
          </cell>
          <cell r="E1686">
            <v>6200</v>
          </cell>
          <cell r="F1686">
            <v>40700</v>
          </cell>
          <cell r="G1686">
            <v>12100</v>
          </cell>
          <cell r="H1686">
            <v>4300</v>
          </cell>
          <cell r="I1686">
            <v>12000000</v>
          </cell>
          <cell r="J1686">
            <v>1030000</v>
          </cell>
        </row>
        <row r="1687">
          <cell r="B1687" t="str">
            <v>MNT, Assur Plus, 8000 Mac EHW, 7*24, Alladin</v>
          </cell>
          <cell r="C1687">
            <v>7194</v>
          </cell>
          <cell r="D1687">
            <v>5400</v>
          </cell>
          <cell r="E1687">
            <v>6600</v>
          </cell>
          <cell r="F1687">
            <v>43200</v>
          </cell>
          <cell r="G1687">
            <v>12900</v>
          </cell>
          <cell r="H1687">
            <v>4600</v>
          </cell>
          <cell r="I1687">
            <v>12800000</v>
          </cell>
          <cell r="J1687">
            <v>1100000</v>
          </cell>
        </row>
        <row r="1688">
          <cell r="B1688" t="str">
            <v>MNT, Assurance 9000 Mac</v>
          </cell>
          <cell r="C1688">
            <v>3239</v>
          </cell>
          <cell r="D1688">
            <v>2400</v>
          </cell>
          <cell r="E1688">
            <v>3000</v>
          </cell>
          <cell r="F1688">
            <v>19500</v>
          </cell>
          <cell r="G1688">
            <v>5800</v>
          </cell>
          <cell r="H1688">
            <v>2100</v>
          </cell>
          <cell r="I1688">
            <v>5700000</v>
          </cell>
          <cell r="J1688">
            <v>490000</v>
          </cell>
        </row>
        <row r="1689">
          <cell r="B1689" t="str">
            <v>MNT, Assurance 9000 Mac, 7*24</v>
          </cell>
          <cell r="C1689">
            <v>4239</v>
          </cell>
          <cell r="D1689">
            <v>3200</v>
          </cell>
          <cell r="E1689">
            <v>3900</v>
          </cell>
          <cell r="F1689">
            <v>25500</v>
          </cell>
          <cell r="G1689">
            <v>7600</v>
          </cell>
          <cell r="H1689">
            <v>2700</v>
          </cell>
          <cell r="I1689">
            <v>7500000</v>
          </cell>
          <cell r="J1689">
            <v>650000</v>
          </cell>
        </row>
        <row r="1690">
          <cell r="B1690" t="str">
            <v>MNT, Assurance Plus 9000 Mac EHW</v>
          </cell>
          <cell r="C1690">
            <v>5144</v>
          </cell>
          <cell r="D1690">
            <v>3900</v>
          </cell>
          <cell r="E1690">
            <v>4700</v>
          </cell>
          <cell r="F1690">
            <v>30900</v>
          </cell>
          <cell r="G1690">
            <v>9200</v>
          </cell>
          <cell r="H1690">
            <v>3300</v>
          </cell>
          <cell r="I1690">
            <v>9100000</v>
          </cell>
          <cell r="J1690">
            <v>780000</v>
          </cell>
        </row>
        <row r="1691">
          <cell r="B1691" t="str">
            <v>MNT, Assurance Plus 9000 Mac EHW, Genie</v>
          </cell>
          <cell r="C1691">
            <v>5774</v>
          </cell>
          <cell r="D1691">
            <v>4300</v>
          </cell>
          <cell r="E1691">
            <v>5300</v>
          </cell>
          <cell r="F1691">
            <v>34700</v>
          </cell>
          <cell r="G1691">
            <v>10300</v>
          </cell>
          <cell r="H1691">
            <v>3700</v>
          </cell>
          <cell r="I1691">
            <v>10200000</v>
          </cell>
          <cell r="J1691">
            <v>880000</v>
          </cell>
        </row>
        <row r="1692">
          <cell r="B1692" t="str">
            <v>MNT, Assurance Plus 9000 Mac EHW, Alladin</v>
          </cell>
          <cell r="C1692">
            <v>6194</v>
          </cell>
          <cell r="D1692">
            <v>4600</v>
          </cell>
          <cell r="E1692">
            <v>5700</v>
          </cell>
          <cell r="F1692">
            <v>37200</v>
          </cell>
          <cell r="G1692">
            <v>11100</v>
          </cell>
          <cell r="H1692">
            <v>3900</v>
          </cell>
          <cell r="I1692">
            <v>11000000</v>
          </cell>
          <cell r="J1692">
            <v>940000</v>
          </cell>
        </row>
        <row r="1693">
          <cell r="B1693" t="str">
            <v>MNT, Assurance Plus, 9000 Mac EHW, 7*24</v>
          </cell>
          <cell r="C1693">
            <v>6144</v>
          </cell>
          <cell r="D1693">
            <v>4600</v>
          </cell>
          <cell r="E1693">
            <v>5600</v>
          </cell>
          <cell r="F1693">
            <v>36900</v>
          </cell>
          <cell r="G1693">
            <v>11000</v>
          </cell>
          <cell r="H1693">
            <v>3900</v>
          </cell>
          <cell r="I1693">
            <v>10900000</v>
          </cell>
          <cell r="J1693">
            <v>940000</v>
          </cell>
        </row>
        <row r="1694">
          <cell r="B1694" t="str">
            <v>MNT, Assur Plus, 9000 Mac EHW, 7*24, Genie</v>
          </cell>
          <cell r="C1694">
            <v>6774</v>
          </cell>
          <cell r="D1694">
            <v>5100</v>
          </cell>
          <cell r="E1694">
            <v>6200</v>
          </cell>
          <cell r="F1694">
            <v>40700</v>
          </cell>
          <cell r="G1694">
            <v>12100</v>
          </cell>
          <cell r="H1694">
            <v>4300</v>
          </cell>
          <cell r="I1694">
            <v>12000000</v>
          </cell>
          <cell r="J1694">
            <v>1030000</v>
          </cell>
        </row>
        <row r="1695">
          <cell r="B1695" t="str">
            <v>MNT, Assur Plus, 9000 Mac EHW, 7*24, Alladin</v>
          </cell>
          <cell r="C1695">
            <v>7194</v>
          </cell>
          <cell r="D1695">
            <v>5400</v>
          </cell>
          <cell r="E1695">
            <v>6600</v>
          </cell>
          <cell r="F1695">
            <v>43200</v>
          </cell>
          <cell r="G1695">
            <v>12900</v>
          </cell>
          <cell r="H1695">
            <v>4600</v>
          </cell>
          <cell r="I1695">
            <v>12800000</v>
          </cell>
          <cell r="J1695">
            <v>1100000</v>
          </cell>
        </row>
        <row r="1696">
          <cell r="B1696" t="str">
            <v>MNT,Assurance Offline MAC</v>
          </cell>
          <cell r="C1696">
            <v>2639</v>
          </cell>
          <cell r="D1696">
            <v>2000</v>
          </cell>
          <cell r="E1696">
            <v>2400</v>
          </cell>
          <cell r="F1696">
            <v>15900</v>
          </cell>
          <cell r="G1696">
            <v>4700</v>
          </cell>
          <cell r="H1696">
            <v>1700</v>
          </cell>
          <cell r="I1696">
            <v>4700000</v>
          </cell>
          <cell r="J1696">
            <v>400000</v>
          </cell>
        </row>
        <row r="1697">
          <cell r="B1697" t="str">
            <v>MNT,Assurance Offline MAC,7*24</v>
          </cell>
          <cell r="C1697">
            <v>3639</v>
          </cell>
          <cell r="D1697">
            <v>2700</v>
          </cell>
          <cell r="E1697">
            <v>3300</v>
          </cell>
          <cell r="F1697">
            <v>21900</v>
          </cell>
          <cell r="G1697">
            <v>6500</v>
          </cell>
          <cell r="H1697">
            <v>2300</v>
          </cell>
          <cell r="I1697">
            <v>6500000</v>
          </cell>
          <cell r="J1697">
            <v>550000</v>
          </cell>
        </row>
        <row r="1698">
          <cell r="B1698" t="str">
            <v>MNT,Assurance Plus Offline MAC EHW</v>
          </cell>
          <cell r="C1698">
            <v>4514</v>
          </cell>
          <cell r="D1698">
            <v>3400</v>
          </cell>
          <cell r="E1698">
            <v>4100</v>
          </cell>
          <cell r="F1698">
            <v>27100</v>
          </cell>
          <cell r="G1698">
            <v>8100</v>
          </cell>
          <cell r="H1698">
            <v>2900</v>
          </cell>
          <cell r="I1698">
            <v>8000000</v>
          </cell>
          <cell r="J1698">
            <v>690000</v>
          </cell>
        </row>
        <row r="1699">
          <cell r="B1699" t="str">
            <v>MNT,Assurance Plus Offline MAC EHW,7*24</v>
          </cell>
          <cell r="C1699">
            <v>5514</v>
          </cell>
          <cell r="D1699">
            <v>4100</v>
          </cell>
          <cell r="E1699">
            <v>5100</v>
          </cell>
          <cell r="F1699">
            <v>33100</v>
          </cell>
          <cell r="G1699">
            <v>9900</v>
          </cell>
          <cell r="H1699">
            <v>3500</v>
          </cell>
          <cell r="I1699">
            <v>9800000</v>
          </cell>
          <cell r="J1699">
            <v>840000</v>
          </cell>
        </row>
        <row r="1700">
          <cell r="B1700" t="str">
            <v>MNT,Assurance FilmComposer MAC</v>
          </cell>
          <cell r="C1700">
            <v>2639</v>
          </cell>
          <cell r="D1700">
            <v>2000</v>
          </cell>
          <cell r="E1700">
            <v>2400</v>
          </cell>
          <cell r="F1700">
            <v>15900</v>
          </cell>
          <cell r="G1700">
            <v>4700</v>
          </cell>
          <cell r="H1700">
            <v>1700</v>
          </cell>
          <cell r="I1700">
            <v>4700000</v>
          </cell>
          <cell r="J1700">
            <v>400000</v>
          </cell>
        </row>
        <row r="1701">
          <cell r="B1701" t="str">
            <v>MNT,Assurance FilmComposer MAC,7*24</v>
          </cell>
          <cell r="C1701">
            <v>3639</v>
          </cell>
          <cell r="D1701">
            <v>2700</v>
          </cell>
          <cell r="E1701">
            <v>3300</v>
          </cell>
          <cell r="F1701">
            <v>21900</v>
          </cell>
          <cell r="G1701">
            <v>6500</v>
          </cell>
          <cell r="H1701">
            <v>2300</v>
          </cell>
          <cell r="I1701">
            <v>6500000</v>
          </cell>
          <cell r="J1701">
            <v>550000</v>
          </cell>
        </row>
        <row r="1702">
          <cell r="B1702" t="str">
            <v>MNT,Assurance Plus FilmComposer MAC EHW</v>
          </cell>
          <cell r="C1702">
            <v>4514</v>
          </cell>
          <cell r="D1702">
            <v>3400</v>
          </cell>
          <cell r="E1702">
            <v>4100</v>
          </cell>
          <cell r="F1702">
            <v>27100</v>
          </cell>
          <cell r="G1702">
            <v>8100</v>
          </cell>
          <cell r="H1702">
            <v>2900</v>
          </cell>
          <cell r="I1702">
            <v>8000000</v>
          </cell>
          <cell r="J1702">
            <v>690000</v>
          </cell>
        </row>
        <row r="1703">
          <cell r="B1703" t="str">
            <v>MNT,Assurance Plus FilmComposer MAC EHW,7*24</v>
          </cell>
          <cell r="C1703">
            <v>5514</v>
          </cell>
          <cell r="D1703">
            <v>4100</v>
          </cell>
          <cell r="E1703">
            <v>5100</v>
          </cell>
          <cell r="F1703">
            <v>33100</v>
          </cell>
          <cell r="G1703">
            <v>9900</v>
          </cell>
          <cell r="H1703">
            <v>3500</v>
          </cell>
          <cell r="I1703">
            <v>9800000</v>
          </cell>
          <cell r="J1703">
            <v>840000</v>
          </cell>
        </row>
        <row r="1704">
          <cell r="B1704" t="str">
            <v>MNT,Assurance Xpress MAC</v>
          </cell>
          <cell r="C1704">
            <v>1570</v>
          </cell>
          <cell r="D1704">
            <v>1200</v>
          </cell>
          <cell r="E1704">
            <v>1400</v>
          </cell>
          <cell r="F1704">
            <v>9400</v>
          </cell>
          <cell r="G1704">
            <v>2800</v>
          </cell>
          <cell r="H1704">
            <v>1000</v>
          </cell>
          <cell r="I1704">
            <v>2800000</v>
          </cell>
          <cell r="J1704">
            <v>240000</v>
          </cell>
        </row>
        <row r="1705">
          <cell r="B1705" t="str">
            <v>MNT,Assurance Xpress MAC,7*24</v>
          </cell>
          <cell r="C1705">
            <v>2570</v>
          </cell>
          <cell r="D1705">
            <v>1900</v>
          </cell>
          <cell r="E1705">
            <v>2400</v>
          </cell>
          <cell r="F1705">
            <v>15400</v>
          </cell>
          <cell r="G1705">
            <v>4600</v>
          </cell>
          <cell r="H1705">
            <v>1600</v>
          </cell>
          <cell r="I1705">
            <v>4600000</v>
          </cell>
          <cell r="J1705">
            <v>390000</v>
          </cell>
        </row>
        <row r="1706">
          <cell r="B1706" t="str">
            <v>MNT Assurance Plus Xpress MAC EHW</v>
          </cell>
          <cell r="C1706">
            <v>3775</v>
          </cell>
          <cell r="D1706">
            <v>2800</v>
          </cell>
          <cell r="E1706">
            <v>3500</v>
          </cell>
          <cell r="F1706">
            <v>22700</v>
          </cell>
          <cell r="G1706">
            <v>6800</v>
          </cell>
          <cell r="H1706">
            <v>2400</v>
          </cell>
          <cell r="I1706">
            <v>6700000</v>
          </cell>
          <cell r="J1706">
            <v>580000</v>
          </cell>
        </row>
        <row r="1707">
          <cell r="B1707" t="str">
            <v>MNT Assurance Plus Xpress MAC EHW,GENIE</v>
          </cell>
          <cell r="C1707">
            <v>4405</v>
          </cell>
          <cell r="D1707">
            <v>3300</v>
          </cell>
          <cell r="E1707">
            <v>4000</v>
          </cell>
          <cell r="F1707">
            <v>26500</v>
          </cell>
          <cell r="G1707">
            <v>7900</v>
          </cell>
          <cell r="H1707">
            <v>2800</v>
          </cell>
          <cell r="I1707">
            <v>7800000</v>
          </cell>
          <cell r="J1707">
            <v>670000</v>
          </cell>
        </row>
        <row r="1708">
          <cell r="B1708" t="str">
            <v>MNT Assurance Plus Xpress MAC EHW,7*24</v>
          </cell>
          <cell r="C1708">
            <v>4775</v>
          </cell>
          <cell r="D1708">
            <v>3600</v>
          </cell>
          <cell r="E1708">
            <v>4400</v>
          </cell>
          <cell r="F1708">
            <v>28700</v>
          </cell>
          <cell r="G1708">
            <v>8600</v>
          </cell>
          <cell r="H1708">
            <v>3000</v>
          </cell>
          <cell r="I1708">
            <v>8500000</v>
          </cell>
          <cell r="J1708">
            <v>730000</v>
          </cell>
        </row>
        <row r="1709">
          <cell r="B1709" t="str">
            <v>MNT Assurance Plus Xpress MAC EHW,7*24,GENIE</v>
          </cell>
          <cell r="C1709">
            <v>5405</v>
          </cell>
          <cell r="D1709">
            <v>4100</v>
          </cell>
          <cell r="E1709">
            <v>5000</v>
          </cell>
          <cell r="F1709">
            <v>32500</v>
          </cell>
          <cell r="G1709">
            <v>9700</v>
          </cell>
          <cell r="H1709">
            <v>3400</v>
          </cell>
          <cell r="I1709">
            <v>9600000</v>
          </cell>
          <cell r="J1709">
            <v>820000</v>
          </cell>
        </row>
        <row r="1710">
          <cell r="B1710" t="str">
            <v>MNT,ASSURANCE MCX NT</v>
          </cell>
          <cell r="C1710">
            <v>1045</v>
          </cell>
          <cell r="D1710">
            <v>800</v>
          </cell>
          <cell r="E1710">
            <v>1000</v>
          </cell>
          <cell r="F1710">
            <v>6300</v>
          </cell>
          <cell r="G1710">
            <v>1900</v>
          </cell>
          <cell r="H1710">
            <v>700</v>
          </cell>
          <cell r="I1710">
            <v>1900000</v>
          </cell>
          <cell r="J1710">
            <v>160000</v>
          </cell>
        </row>
        <row r="1711">
          <cell r="B1711" t="str">
            <v>MNT ASSURANCE MEDIASTATION MAC</v>
          </cell>
          <cell r="C1711">
            <v>1794</v>
          </cell>
          <cell r="D1711">
            <v>1300</v>
          </cell>
          <cell r="E1711">
            <v>1600</v>
          </cell>
          <cell r="F1711">
            <v>10800</v>
          </cell>
          <cell r="G1711">
            <v>3200</v>
          </cell>
          <cell r="H1711">
            <v>1100</v>
          </cell>
          <cell r="I1711">
            <v>3200000</v>
          </cell>
          <cell r="J1711">
            <v>270000</v>
          </cell>
        </row>
        <row r="1712">
          <cell r="B1712" t="str">
            <v>MNT,ASSURANCE MEDIASTATION MAC,7*24</v>
          </cell>
          <cell r="C1712">
            <v>2794</v>
          </cell>
          <cell r="D1712">
            <v>2100</v>
          </cell>
          <cell r="E1712">
            <v>2600</v>
          </cell>
          <cell r="F1712">
            <v>16800</v>
          </cell>
          <cell r="G1712">
            <v>5000</v>
          </cell>
          <cell r="H1712">
            <v>1800</v>
          </cell>
          <cell r="I1712">
            <v>5000000</v>
          </cell>
          <cell r="J1712">
            <v>430000</v>
          </cell>
        </row>
        <row r="1713">
          <cell r="B1713" t="str">
            <v>MNT,ASSURANCE PLUS MEDIASTATION MAC EHW</v>
          </cell>
          <cell r="C1713">
            <v>4514</v>
          </cell>
          <cell r="D1713">
            <v>3400</v>
          </cell>
          <cell r="E1713">
            <v>4100</v>
          </cell>
          <cell r="F1713">
            <v>27100</v>
          </cell>
          <cell r="G1713">
            <v>8100</v>
          </cell>
          <cell r="H1713">
            <v>2900</v>
          </cell>
          <cell r="I1713">
            <v>8000000</v>
          </cell>
          <cell r="J1713">
            <v>690000</v>
          </cell>
        </row>
        <row r="1714">
          <cell r="B1714" t="str">
            <v>MNT,ASSURANCE PLUS MEDIASTATION MAC EHW,7*24</v>
          </cell>
          <cell r="C1714">
            <v>5514</v>
          </cell>
          <cell r="D1714">
            <v>4100</v>
          </cell>
          <cell r="E1714">
            <v>5100</v>
          </cell>
          <cell r="F1714">
            <v>33100</v>
          </cell>
          <cell r="G1714">
            <v>9900</v>
          </cell>
          <cell r="H1714">
            <v>3500</v>
          </cell>
          <cell r="I1714">
            <v>9800000</v>
          </cell>
          <cell r="J1714">
            <v>840000</v>
          </cell>
        </row>
        <row r="1715">
          <cell r="B1715" t="str">
            <v>MNT, Assurance 400s Mac</v>
          </cell>
          <cell r="C1715">
            <v>1138</v>
          </cell>
          <cell r="D1715">
            <v>900</v>
          </cell>
          <cell r="E1715">
            <v>1000</v>
          </cell>
          <cell r="F1715">
            <v>6800</v>
          </cell>
          <cell r="G1715">
            <v>2000</v>
          </cell>
          <cell r="H1715">
            <v>700</v>
          </cell>
          <cell r="I1715">
            <v>2000000</v>
          </cell>
          <cell r="J1715">
            <v>170000</v>
          </cell>
        </row>
        <row r="1716">
          <cell r="B1716" t="str">
            <v>MNT, Assurance 400s Mac, 7*24</v>
          </cell>
          <cell r="C1716">
            <v>2138</v>
          </cell>
          <cell r="D1716">
            <v>1600</v>
          </cell>
          <cell r="E1716">
            <v>2000</v>
          </cell>
          <cell r="F1716">
            <v>12800</v>
          </cell>
          <cell r="G1716">
            <v>3800</v>
          </cell>
          <cell r="H1716">
            <v>1400</v>
          </cell>
          <cell r="I1716">
            <v>3800000</v>
          </cell>
          <cell r="J1716">
            <v>330000</v>
          </cell>
        </row>
        <row r="1717">
          <cell r="B1717" t="str">
            <v>MNT, Assurance Plus 400s Mac EHW</v>
          </cell>
          <cell r="C1717">
            <v>3200</v>
          </cell>
          <cell r="D1717">
            <v>2400</v>
          </cell>
          <cell r="E1717">
            <v>2900</v>
          </cell>
          <cell r="F1717">
            <v>19200</v>
          </cell>
          <cell r="G1717">
            <v>5700</v>
          </cell>
          <cell r="H1717">
            <v>2000</v>
          </cell>
          <cell r="I1717">
            <v>5700000</v>
          </cell>
          <cell r="J1717">
            <v>490000</v>
          </cell>
        </row>
        <row r="1718">
          <cell r="B1718" t="str">
            <v>MNT, Assurance Plus 400s Mac EHW 7*24</v>
          </cell>
          <cell r="C1718">
            <v>4200</v>
          </cell>
          <cell r="D1718">
            <v>3200</v>
          </cell>
          <cell r="E1718">
            <v>3800</v>
          </cell>
          <cell r="F1718">
            <v>25200</v>
          </cell>
          <cell r="G1718">
            <v>7500</v>
          </cell>
          <cell r="H1718">
            <v>2700</v>
          </cell>
          <cell r="I1718">
            <v>7500000</v>
          </cell>
          <cell r="J1718">
            <v>640000</v>
          </cell>
        </row>
        <row r="1719">
          <cell r="B1719" t="str">
            <v>MNT, Assurance 800 Mac</v>
          </cell>
          <cell r="C1719">
            <v>1138</v>
          </cell>
          <cell r="D1719">
            <v>900</v>
          </cell>
          <cell r="E1719">
            <v>1000</v>
          </cell>
          <cell r="F1719">
            <v>6800</v>
          </cell>
          <cell r="G1719">
            <v>2000</v>
          </cell>
          <cell r="H1719">
            <v>700</v>
          </cell>
          <cell r="I1719">
            <v>2000000</v>
          </cell>
          <cell r="J1719">
            <v>170000</v>
          </cell>
        </row>
        <row r="1720">
          <cell r="B1720" t="str">
            <v>MNT, Assurance 800 Mac, 7*24</v>
          </cell>
          <cell r="C1720">
            <v>2138</v>
          </cell>
          <cell r="D1720">
            <v>1600</v>
          </cell>
          <cell r="E1720">
            <v>2000</v>
          </cell>
          <cell r="F1720">
            <v>12800</v>
          </cell>
          <cell r="G1720">
            <v>3800</v>
          </cell>
          <cell r="H1720">
            <v>1400</v>
          </cell>
          <cell r="I1720">
            <v>3800000</v>
          </cell>
          <cell r="J1720">
            <v>330000</v>
          </cell>
        </row>
        <row r="1721">
          <cell r="B1721" t="str">
            <v>MNT, Assurance Plus 800 Mac EHW</v>
          </cell>
          <cell r="C1721">
            <v>3200</v>
          </cell>
          <cell r="D1721">
            <v>2400</v>
          </cell>
          <cell r="E1721">
            <v>2900</v>
          </cell>
          <cell r="F1721">
            <v>19200</v>
          </cell>
          <cell r="G1721">
            <v>5700</v>
          </cell>
          <cell r="H1721">
            <v>2000</v>
          </cell>
          <cell r="I1721">
            <v>5700000</v>
          </cell>
          <cell r="J1721">
            <v>490000</v>
          </cell>
        </row>
        <row r="1722">
          <cell r="B1722" t="str">
            <v>MNT, Assurance Plus 800 Mac EHW 7*24</v>
          </cell>
          <cell r="C1722">
            <v>4200</v>
          </cell>
          <cell r="D1722">
            <v>3200</v>
          </cell>
          <cell r="E1722">
            <v>3800</v>
          </cell>
          <cell r="F1722">
            <v>25200</v>
          </cell>
          <cell r="G1722">
            <v>7500</v>
          </cell>
          <cell r="H1722">
            <v>2700</v>
          </cell>
          <cell r="I1722">
            <v>7500000</v>
          </cell>
          <cell r="J1722">
            <v>640000</v>
          </cell>
        </row>
        <row r="1723">
          <cell r="B1723" t="str">
            <v>MNT, Assurance 900 Mac</v>
          </cell>
          <cell r="C1723">
            <v>1138</v>
          </cell>
          <cell r="D1723">
            <v>900</v>
          </cell>
          <cell r="E1723">
            <v>1000</v>
          </cell>
          <cell r="F1723">
            <v>6800</v>
          </cell>
          <cell r="G1723">
            <v>2000</v>
          </cell>
          <cell r="H1723">
            <v>700</v>
          </cell>
          <cell r="I1723">
            <v>2000000</v>
          </cell>
          <cell r="J1723">
            <v>170000</v>
          </cell>
        </row>
        <row r="1724">
          <cell r="B1724" t="str">
            <v>MNT, Assurance 900 Mac, 7*24</v>
          </cell>
          <cell r="C1724">
            <v>2138</v>
          </cell>
          <cell r="D1724">
            <v>1600</v>
          </cell>
          <cell r="E1724">
            <v>2000</v>
          </cell>
          <cell r="F1724">
            <v>12800</v>
          </cell>
          <cell r="G1724">
            <v>3800</v>
          </cell>
          <cell r="H1724">
            <v>1400</v>
          </cell>
          <cell r="I1724">
            <v>3800000</v>
          </cell>
          <cell r="J1724">
            <v>330000</v>
          </cell>
        </row>
        <row r="1725">
          <cell r="B1725" t="str">
            <v>MNT, Assurance Plus 900 Mac EHW</v>
          </cell>
          <cell r="C1725">
            <v>3200</v>
          </cell>
          <cell r="D1725">
            <v>2400</v>
          </cell>
          <cell r="E1725">
            <v>2900</v>
          </cell>
          <cell r="F1725">
            <v>19200</v>
          </cell>
          <cell r="G1725">
            <v>5700</v>
          </cell>
          <cell r="H1725">
            <v>2000</v>
          </cell>
          <cell r="I1725">
            <v>5700000</v>
          </cell>
          <cell r="J1725">
            <v>490000</v>
          </cell>
        </row>
        <row r="1726">
          <cell r="B1726" t="str">
            <v>MNT, Assurance Plus 900 Mac EHW 7*24</v>
          </cell>
          <cell r="C1726">
            <v>4200</v>
          </cell>
          <cell r="D1726">
            <v>3200</v>
          </cell>
          <cell r="E1726">
            <v>3800</v>
          </cell>
          <cell r="F1726">
            <v>25200</v>
          </cell>
          <cell r="G1726">
            <v>7500</v>
          </cell>
          <cell r="H1726">
            <v>2700</v>
          </cell>
          <cell r="I1726">
            <v>7500000</v>
          </cell>
          <cell r="J1726">
            <v>640000</v>
          </cell>
        </row>
        <row r="1727">
          <cell r="B1727" t="str">
            <v>MNT, Assurance AudioVision Mac</v>
          </cell>
          <cell r="C1727">
            <v>1575</v>
          </cell>
          <cell r="D1727">
            <v>1200</v>
          </cell>
          <cell r="E1727">
            <v>1400</v>
          </cell>
          <cell r="F1727">
            <v>9500</v>
          </cell>
          <cell r="G1727">
            <v>2800</v>
          </cell>
          <cell r="H1727">
            <v>1000</v>
          </cell>
          <cell r="I1727">
            <v>2800000</v>
          </cell>
          <cell r="J1727">
            <v>240000</v>
          </cell>
        </row>
        <row r="1728">
          <cell r="B1728" t="str">
            <v>MNT, Assurance AudioVision Mac EHW</v>
          </cell>
          <cell r="C1728">
            <v>3780</v>
          </cell>
          <cell r="D1728">
            <v>2800</v>
          </cell>
          <cell r="E1728">
            <v>3500</v>
          </cell>
          <cell r="F1728">
            <v>22700</v>
          </cell>
          <cell r="G1728">
            <v>6800</v>
          </cell>
          <cell r="H1728">
            <v>2400</v>
          </cell>
          <cell r="I1728">
            <v>6700000</v>
          </cell>
          <cell r="J1728">
            <v>580000</v>
          </cell>
        </row>
        <row r="1729">
          <cell r="B1729" t="str">
            <v>MNT, Assurance AudioVision EHW, 16chAMCI</v>
          </cell>
          <cell r="C1729">
            <v>4410</v>
          </cell>
          <cell r="D1729">
            <v>3300</v>
          </cell>
          <cell r="E1729">
            <v>4000</v>
          </cell>
          <cell r="F1729">
            <v>26500</v>
          </cell>
          <cell r="G1729">
            <v>7900</v>
          </cell>
          <cell r="H1729">
            <v>2800</v>
          </cell>
          <cell r="I1729">
            <v>7800000</v>
          </cell>
          <cell r="J1729">
            <v>670000</v>
          </cell>
        </row>
        <row r="1730">
          <cell r="B1730" t="str">
            <v>MNT, Assurance NewsCutter Mac 7*24</v>
          </cell>
          <cell r="C1730">
            <v>3416</v>
          </cell>
          <cell r="D1730">
            <v>2600</v>
          </cell>
          <cell r="E1730">
            <v>3100</v>
          </cell>
          <cell r="F1730">
            <v>20500</v>
          </cell>
          <cell r="G1730">
            <v>6100</v>
          </cell>
          <cell r="H1730">
            <v>2200</v>
          </cell>
          <cell r="I1730">
            <v>6100000</v>
          </cell>
          <cell r="J1730">
            <v>520000</v>
          </cell>
        </row>
        <row r="1731">
          <cell r="B1731" t="str">
            <v>MNT, Assur Plus NewsCutter Mac  EHW, 7*24</v>
          </cell>
          <cell r="C1731">
            <v>5515</v>
          </cell>
          <cell r="D1731">
            <v>4100</v>
          </cell>
          <cell r="E1731">
            <v>5100</v>
          </cell>
          <cell r="F1731">
            <v>33100</v>
          </cell>
          <cell r="G1731">
            <v>9900</v>
          </cell>
          <cell r="H1731">
            <v>3500</v>
          </cell>
          <cell r="I1731">
            <v>9800000</v>
          </cell>
          <cell r="J1731">
            <v>840000</v>
          </cell>
        </row>
        <row r="1732">
          <cell r="B1732" t="str">
            <v>MNT, Assur NewsCutter Effects DV  7*24</v>
          </cell>
          <cell r="C1732">
            <v>4200</v>
          </cell>
          <cell r="D1732">
            <v>3200</v>
          </cell>
          <cell r="E1732">
            <v>3800</v>
          </cell>
          <cell r="F1732">
            <v>25200</v>
          </cell>
          <cell r="G1732">
            <v>7500</v>
          </cell>
          <cell r="H1732">
            <v>2700</v>
          </cell>
          <cell r="I1732">
            <v>7500000</v>
          </cell>
          <cell r="J1732">
            <v>640000</v>
          </cell>
        </row>
        <row r="1733">
          <cell r="B1733" t="str">
            <v>MNT, Assur Plus NewsCut Effects DV EHW, 7*24</v>
          </cell>
          <cell r="D1733">
            <v>0</v>
          </cell>
          <cell r="E1733">
            <v>0</v>
          </cell>
          <cell r="F1733">
            <v>0</v>
          </cell>
          <cell r="G1733">
            <v>0</v>
          </cell>
          <cell r="H1733">
            <v>0</v>
          </cell>
          <cell r="I1733">
            <v>0</v>
          </cell>
          <cell r="J1733">
            <v>0</v>
          </cell>
        </row>
        <row r="1734">
          <cell r="B1734" t="str">
            <v>MNT, Assur NewsCutter Cuts DV 7*24</v>
          </cell>
          <cell r="C1734">
            <v>3416</v>
          </cell>
          <cell r="D1734">
            <v>2600</v>
          </cell>
          <cell r="E1734">
            <v>3100</v>
          </cell>
          <cell r="F1734">
            <v>20500</v>
          </cell>
          <cell r="G1734">
            <v>6100</v>
          </cell>
          <cell r="H1734">
            <v>2200</v>
          </cell>
          <cell r="I1734">
            <v>6100000</v>
          </cell>
          <cell r="J1734">
            <v>520000</v>
          </cell>
        </row>
        <row r="1735">
          <cell r="B1735" t="str">
            <v>MNT, Assur Plus NewsCut Cuts DV EHW, 7*24</v>
          </cell>
          <cell r="D1735">
            <v>0</v>
          </cell>
          <cell r="E1735">
            <v>0</v>
          </cell>
          <cell r="F1735">
            <v>0</v>
          </cell>
          <cell r="G1735">
            <v>0</v>
          </cell>
          <cell r="H1735">
            <v>0</v>
          </cell>
          <cell r="I1735">
            <v>0</v>
          </cell>
          <cell r="J1735">
            <v>0</v>
          </cell>
        </row>
        <row r="1736">
          <cell r="B1736" t="str">
            <v>MNT, Assurance Airplay  7*24</v>
          </cell>
          <cell r="C1736">
            <v>3416</v>
          </cell>
          <cell r="D1736">
            <v>2600</v>
          </cell>
          <cell r="E1736">
            <v>3100</v>
          </cell>
          <cell r="F1736">
            <v>20500</v>
          </cell>
          <cell r="G1736">
            <v>6100</v>
          </cell>
          <cell r="H1736">
            <v>2200</v>
          </cell>
          <cell r="I1736">
            <v>6100000</v>
          </cell>
          <cell r="J1736">
            <v>520000</v>
          </cell>
        </row>
        <row r="1737">
          <cell r="B1737" t="str">
            <v>MNT, Assurance Plus Airplay EHW, 7*24</v>
          </cell>
          <cell r="C1737">
            <v>5515</v>
          </cell>
          <cell r="D1737">
            <v>4100</v>
          </cell>
          <cell r="E1737">
            <v>5100</v>
          </cell>
          <cell r="F1737">
            <v>33100</v>
          </cell>
          <cell r="G1737">
            <v>9900</v>
          </cell>
          <cell r="H1737">
            <v>3500</v>
          </cell>
          <cell r="I1737">
            <v>9800000</v>
          </cell>
          <cell r="J1737">
            <v>840000</v>
          </cell>
        </row>
        <row r="1738">
          <cell r="A1738" t="str">
            <v>0010-03519-01</v>
          </cell>
          <cell r="B1738" t="str">
            <v>Kit, MC9000XL NT System w/CPU &amp; F/C Adapter</v>
          </cell>
          <cell r="C1738">
            <v>100500</v>
          </cell>
        </row>
        <row r="1739">
          <cell r="A1739" t="str">
            <v>0010-03520-01</v>
          </cell>
          <cell r="B1739" t="str">
            <v>Kit, MC9000XL NT System w/CPU &amp; LVD Adapter</v>
          </cell>
          <cell r="C1739">
            <v>100500</v>
          </cell>
        </row>
        <row r="1740">
          <cell r="A1740" t="str">
            <v>0010-03557-01</v>
          </cell>
          <cell r="B1740" t="str">
            <v>Kit, MC9000XL NT System no CPU &amp; F/C Adapter</v>
          </cell>
          <cell r="C1740">
            <v>93505</v>
          </cell>
        </row>
        <row r="1741">
          <cell r="A1741" t="str">
            <v>0010-03558-01</v>
          </cell>
          <cell r="B1741" t="str">
            <v>Kit, MC9000XL NT System no CPU &amp; Dual LVD Adapter</v>
          </cell>
          <cell r="C1741">
            <v>93505</v>
          </cell>
        </row>
        <row r="1742">
          <cell r="A1742" t="str">
            <v>0010-03521-01</v>
          </cell>
          <cell r="B1742" t="str">
            <v>Kit, MC1000XL NT System w/CPU &amp; F/C Adapter</v>
          </cell>
          <cell r="C1742">
            <v>63000</v>
          </cell>
        </row>
        <row r="1743">
          <cell r="A1743" t="str">
            <v>0010-03522-01</v>
          </cell>
          <cell r="B1743" t="str">
            <v>Kit, MC1000XL NT System w/CPU &amp; Dual LVD Adapter</v>
          </cell>
          <cell r="C1743">
            <v>63000</v>
          </cell>
        </row>
        <row r="1744">
          <cell r="A1744" t="str">
            <v>0010-03559-01</v>
          </cell>
          <cell r="B1744" t="str">
            <v>Kit, MC1000XL NT System no CPU &amp; F/C Adapter</v>
          </cell>
          <cell r="C1744">
            <v>56005</v>
          </cell>
        </row>
        <row r="1745">
          <cell r="A1745" t="str">
            <v>0010-03560-01</v>
          </cell>
          <cell r="B1745" t="str">
            <v>Kit, MC1000XL NT System no CPU &amp; Dual LVD Adapter</v>
          </cell>
          <cell r="C1745">
            <v>56005</v>
          </cell>
        </row>
        <row r="1746">
          <cell r="A1746" t="str">
            <v>0010-03525-01</v>
          </cell>
          <cell r="B1746" t="str">
            <v>Kit, Film Composer XL NT System w/CPU &amp; F/C Adapter</v>
          </cell>
          <cell r="C1746">
            <v>70500</v>
          </cell>
        </row>
        <row r="1747">
          <cell r="A1747" t="str">
            <v>0010-03526-01</v>
          </cell>
          <cell r="B1747" t="str">
            <v>Kit, Film Composer XL NT System w/CPU &amp; Dual LVD Adapter</v>
          </cell>
          <cell r="C1747">
            <v>70500</v>
          </cell>
        </row>
        <row r="1748">
          <cell r="A1748" t="str">
            <v>0010-03563-01</v>
          </cell>
          <cell r="B1748" t="str">
            <v>Kit, Film Composer XL NT System no CPU &amp; F/C Adapter</v>
          </cell>
          <cell r="C1748">
            <v>63505</v>
          </cell>
        </row>
        <row r="1749">
          <cell r="A1749" t="str">
            <v>0010-03565-01</v>
          </cell>
          <cell r="B1749" t="str">
            <v>Kit, Film Composer XL NT System no CPU &amp; Dual LVD Adapter</v>
          </cell>
          <cell r="C1749">
            <v>63505</v>
          </cell>
        </row>
        <row r="1750">
          <cell r="A1750" t="str">
            <v>0010-03523-01</v>
          </cell>
          <cell r="B1750" t="str">
            <v>Kit, MC Offline XL NT System w/CPU &amp; F/C Adapter</v>
          </cell>
          <cell r="C1750">
            <v>43000</v>
          </cell>
        </row>
        <row r="1751">
          <cell r="A1751" t="str">
            <v>0010-03524-01</v>
          </cell>
          <cell r="B1751" t="str">
            <v>Kit, MC Offline XL NT System w/CPU &amp; Dual LVD Adapter</v>
          </cell>
          <cell r="C1751">
            <v>43000</v>
          </cell>
        </row>
        <row r="1752">
          <cell r="A1752" t="str">
            <v>0010-03561-01</v>
          </cell>
          <cell r="B1752" t="str">
            <v>Kit, MC Offline XL NT System no CPU &amp; F/C Adapter</v>
          </cell>
          <cell r="C1752">
            <v>36005</v>
          </cell>
        </row>
        <row r="1753">
          <cell r="A1753" t="str">
            <v>0010-03562-01</v>
          </cell>
          <cell r="B1753" t="str">
            <v>Kit, MC Offline XL NT System no CPU &amp; Dual LVD Adapter</v>
          </cell>
          <cell r="C1753">
            <v>36005</v>
          </cell>
        </row>
        <row r="1754">
          <cell r="A1754" t="str">
            <v>0010-00932-01</v>
          </cell>
          <cell r="B1754" t="str">
            <v>Kit, 1 Bin &amp; 1 Edit Monitor, Each 21"</v>
          </cell>
          <cell r="C1754">
            <v>4600</v>
          </cell>
        </row>
        <row r="1755">
          <cell r="A1755" t="str">
            <v>0010-00505-01</v>
          </cell>
          <cell r="B1755" t="str">
            <v>Kit, Dual Powered Speakers, 110V</v>
          </cell>
          <cell r="C1755">
            <v>375</v>
          </cell>
        </row>
        <row r="1756">
          <cell r="A1756" t="str">
            <v>0560-03141-01</v>
          </cell>
          <cell r="B1756" t="str">
            <v>Kit, FX Package NT  (MC1000 &amp; MC Offline only)</v>
          </cell>
          <cell r="C1756">
            <v>12500</v>
          </cell>
        </row>
        <row r="1757">
          <cell r="A1757" t="str">
            <v>0100-03113-01</v>
          </cell>
          <cell r="B1757" t="str">
            <v>SFW, 1:1 2 Stream Option NT, (MC1000 only)</v>
          </cell>
          <cell r="C1757">
            <v>10000</v>
          </cell>
        </row>
        <row r="1758">
          <cell r="A1758" t="str">
            <v>0560-03142-01</v>
          </cell>
          <cell r="B1758" t="str">
            <v>SFW, 1:1 1 Stream Opt NT(Incl. in 1:1 Two Stream Option)(MC1000 only)</v>
          </cell>
          <cell r="C1758">
            <v>5000</v>
          </cell>
        </row>
        <row r="1759">
          <cell r="A1759" t="str">
            <v>0010-03201-01</v>
          </cell>
          <cell r="B1759" t="str">
            <v>Kit, Universal Offline Editing Package NT (MC1000 &amp; MC Offline only)</v>
          </cell>
          <cell r="C1759">
            <v>20000</v>
          </cell>
        </row>
        <row r="1760">
          <cell r="A1760" t="str">
            <v>0010-03170-01</v>
          </cell>
          <cell r="B1760" t="str">
            <v>Kit, FilmScribe/Matchback Bundle NT(Incl. in Universal Editing)(MC1000 &amp; MC Offline only)</v>
          </cell>
          <cell r="C1760">
            <v>5500</v>
          </cell>
        </row>
        <row r="1761">
          <cell r="A1761" t="str">
            <v>0560-03140-01</v>
          </cell>
          <cell r="B1761" t="str">
            <v>SFW, Intraframe Editing NT (Incl. In FX Package)(MC1000 &amp; MC Offline only)</v>
          </cell>
          <cell r="C1761">
            <v>3000</v>
          </cell>
        </row>
        <row r="1762">
          <cell r="A1762" t="str">
            <v>0010-03612-01</v>
          </cell>
          <cell r="B1762" t="str">
            <v>Kit, Marquee Plug-in Option NT (All Models, Standard in MC9000)</v>
          </cell>
          <cell r="C1762">
            <v>1995</v>
          </cell>
        </row>
        <row r="1763">
          <cell r="A1763" t="str">
            <v>0860-03001-01</v>
          </cell>
          <cell r="B1763" t="str">
            <v>Mem, DIMM 128MB, PC</v>
          </cell>
          <cell r="C1763">
            <v>500</v>
          </cell>
        </row>
        <row r="1764">
          <cell r="A1764" t="str">
            <v>0860-03001-02</v>
          </cell>
          <cell r="B1764" t="str">
            <v>Mem, DIMM 64MB, PC</v>
          </cell>
          <cell r="C1764">
            <v>250</v>
          </cell>
        </row>
        <row r="1765">
          <cell r="A1765" t="str">
            <v>0010-03505-01</v>
          </cell>
          <cell r="B1765" t="str">
            <v>PRD, AvidNet Transfer Tool V3.3 Win/NT</v>
          </cell>
          <cell r="C1765">
            <v>599</v>
          </cell>
        </row>
        <row r="1766">
          <cell r="A1766" t="str">
            <v>0010-03781-01</v>
          </cell>
          <cell r="B1766" t="str">
            <v>Kit, MC 1000 XL Mac System w/G4 CPU, LVD &amp; F/C Adapter</v>
          </cell>
          <cell r="C1766">
            <v>63000</v>
          </cell>
        </row>
        <row r="1767">
          <cell r="A1767" t="str">
            <v>0010-03782-01</v>
          </cell>
          <cell r="B1767" t="str">
            <v>Kit, MC 1000 XL Mac System w/G4 CPU, LVD no F/C Adapter</v>
          </cell>
          <cell r="C1767">
            <v>63000</v>
          </cell>
        </row>
        <row r="1768">
          <cell r="A1768" t="str">
            <v>0010-03783-01</v>
          </cell>
          <cell r="B1768" t="str">
            <v>Kit, MC 1000 XL Mac System no CPU, LVD &amp; F/C Adapter for G4</v>
          </cell>
          <cell r="C1768">
            <v>56005</v>
          </cell>
        </row>
        <row r="1769">
          <cell r="A1769" t="str">
            <v>0010-03784-01</v>
          </cell>
          <cell r="B1769" t="str">
            <v>Kit, MC 1000 XL Mac System no CPU, LVD no F/C Adapter for G4</v>
          </cell>
          <cell r="C1769">
            <v>56005</v>
          </cell>
        </row>
        <row r="1770">
          <cell r="A1770" t="str">
            <v>0010-03785-01</v>
          </cell>
          <cell r="B1770" t="str">
            <v>Kit, MC Offline XL Mac System w/G4 CPU, LVD &amp; F/C Adapter</v>
          </cell>
          <cell r="C1770">
            <v>43000</v>
          </cell>
        </row>
        <row r="1771">
          <cell r="A1771" t="str">
            <v>0010-03786-01</v>
          </cell>
          <cell r="B1771" t="str">
            <v>Kit, MC Offline XL Mac System w/G4 CPU, LVD no F/C Adapter</v>
          </cell>
          <cell r="C1771">
            <v>43000</v>
          </cell>
        </row>
        <row r="1772">
          <cell r="A1772" t="str">
            <v>0010-03787-01</v>
          </cell>
          <cell r="B1772" t="str">
            <v>Kit, MC Offline XL Mac System no CPU, LVD &amp; F/C Adapter for G4</v>
          </cell>
          <cell r="C1772">
            <v>36005</v>
          </cell>
        </row>
        <row r="1773">
          <cell r="A1773" t="str">
            <v>0010-03788-01</v>
          </cell>
          <cell r="B1773" t="str">
            <v>Kit, MC Offline XL Mac System no CPU, LVD no F/C Adapter for G4</v>
          </cell>
          <cell r="C1773">
            <v>36005</v>
          </cell>
        </row>
        <row r="1774">
          <cell r="A1774" t="str">
            <v>0010-03765-01</v>
          </cell>
          <cell r="B1774" t="str">
            <v>Kit, G4 Accessories</v>
          </cell>
          <cell r="C1774">
            <v>899</v>
          </cell>
        </row>
        <row r="1775">
          <cell r="A1775" t="str">
            <v>0060-03013-01</v>
          </cell>
          <cell r="B1775" t="str">
            <v>Keyboard, Apple G4</v>
          </cell>
          <cell r="C1775">
            <v>100</v>
          </cell>
        </row>
        <row r="1776">
          <cell r="A1776" t="str">
            <v>0010-00830-01</v>
          </cell>
          <cell r="B1776" t="str">
            <v>Kit, Local Language, French GUI</v>
          </cell>
          <cell r="C1776" t="str">
            <v xml:space="preserve"> </v>
          </cell>
        </row>
        <row r="1777">
          <cell r="A1777" t="str">
            <v>0010-00830-02</v>
          </cell>
          <cell r="B1777" t="str">
            <v>Kit, Local Language, German GUI</v>
          </cell>
        </row>
        <row r="1778">
          <cell r="A1778" t="str">
            <v>0010-00830-04</v>
          </cell>
          <cell r="B1778" t="str">
            <v>Kit, Local Language, Italian GUI</v>
          </cell>
        </row>
        <row r="1779">
          <cell r="A1779" t="str">
            <v>0010-00830-05</v>
          </cell>
          <cell r="B1779" t="str">
            <v>Kit, Local Language, Japanese GUI</v>
          </cell>
        </row>
        <row r="1780">
          <cell r="A1780" t="str">
            <v>0010-00830-07</v>
          </cell>
          <cell r="B1780" t="str">
            <v>Kit, Local Language, Korean GUI</v>
          </cell>
        </row>
        <row r="1781">
          <cell r="A1781" t="str">
            <v>0010-00830-09</v>
          </cell>
          <cell r="B1781" t="str">
            <v>Kit, Local Language, Malay GUI</v>
          </cell>
        </row>
        <row r="1782">
          <cell r="A1782" t="str">
            <v>0010-03011-01</v>
          </cell>
          <cell r="B1782" t="str">
            <v>Kit, Rack Mount for PCI Extender (G4 Only)</v>
          </cell>
          <cell r="C1782">
            <v>150</v>
          </cell>
        </row>
        <row r="1783">
          <cell r="A1783" t="str">
            <v>0560-03144-01</v>
          </cell>
          <cell r="B1783" t="str">
            <v>Kit, FX Package Mac</v>
          </cell>
          <cell r="C1783">
            <v>12500</v>
          </cell>
        </row>
        <row r="1784">
          <cell r="A1784" t="str">
            <v>0560-03145-01</v>
          </cell>
          <cell r="B1784" t="str">
            <v>SFW, 1:1 One Stream Uncompressed Mac (MC1000 Only)</v>
          </cell>
          <cell r="C1784">
            <v>5000</v>
          </cell>
        </row>
        <row r="1785">
          <cell r="A1785" t="str">
            <v>0010-03170-02</v>
          </cell>
          <cell r="B1785" t="str">
            <v>Kit, FilmScribe/Matchback Bundle Mac</v>
          </cell>
          <cell r="C1785">
            <v>5500</v>
          </cell>
        </row>
        <row r="1786">
          <cell r="A1786" t="str">
            <v>0560-03143-01</v>
          </cell>
          <cell r="B1786" t="str">
            <v>SFW, Intraframe Editing Mac (included in FX Package)</v>
          </cell>
          <cell r="C1786">
            <v>3000</v>
          </cell>
        </row>
        <row r="1787">
          <cell r="A1787" t="str">
            <v>0860-03003-01</v>
          </cell>
          <cell r="B1787" t="str">
            <v>Mem, DIMM 64MB, G4</v>
          </cell>
          <cell r="C1787">
            <v>500</v>
          </cell>
        </row>
        <row r="1788">
          <cell r="A1788" t="str">
            <v>0860-03003-02</v>
          </cell>
          <cell r="B1788" t="str">
            <v>Mem, DIMM 128MB, G4</v>
          </cell>
          <cell r="C1788">
            <v>250</v>
          </cell>
        </row>
        <row r="1789">
          <cell r="A1789" t="str">
            <v>0030-00291-03</v>
          </cell>
          <cell r="B1789" t="str">
            <v>PCA, PCI 10/100 BaseT Apple Network Card</v>
          </cell>
          <cell r="C1789">
            <v>499</v>
          </cell>
        </row>
        <row r="1790">
          <cell r="A1790" t="str">
            <v>0010-03504-01</v>
          </cell>
          <cell r="B1790" t="str">
            <v>Kit, AvidNet Peer-to-Peer, 3.3 SFW, XL MAC</v>
          </cell>
          <cell r="C1790">
            <v>599</v>
          </cell>
        </row>
        <row r="1791">
          <cell r="A1791" t="str">
            <v>0010-00528-01</v>
          </cell>
          <cell r="B1791" t="str">
            <v>Kit, Media Station Telecine Room Option</v>
          </cell>
          <cell r="C1791">
            <v>3500</v>
          </cell>
        </row>
        <row r="1792">
          <cell r="A1792" t="str">
            <v>0010-00598-01</v>
          </cell>
          <cell r="B1792" t="str">
            <v>Kit, "Deluxe Finishing Package"(AVR9s,77)</v>
          </cell>
          <cell r="C1792">
            <v>3850</v>
          </cell>
        </row>
        <row r="1793">
          <cell r="A1793" t="str">
            <v>0010-00599-01</v>
          </cell>
          <cell r="B1793" t="str">
            <v>Kit,"Online Finishing Package"(AVR75,77)</v>
          </cell>
          <cell r="C1793">
            <v>3150</v>
          </cell>
        </row>
        <row r="1794">
          <cell r="A1794" t="str">
            <v>0010-00600-01</v>
          </cell>
          <cell r="B1794" t="str">
            <v>Kit,"CD ROM Package"(AVR8s,9s)</v>
          </cell>
          <cell r="C1794">
            <v>3150</v>
          </cell>
        </row>
        <row r="1795">
          <cell r="A1795" t="str">
            <v>0010-00601-01</v>
          </cell>
          <cell r="B1795" t="str">
            <v>Kit,AVR 4s,4m,6s,6m</v>
          </cell>
          <cell r="C1795">
            <v>3150</v>
          </cell>
        </row>
        <row r="1796">
          <cell r="A1796" t="str">
            <v>0010-00674-01</v>
          </cell>
          <cell r="B1796" t="str">
            <v>Kit, Real Time Multicamera Play, MC Offline</v>
          </cell>
          <cell r="C1796">
            <v>7000</v>
          </cell>
        </row>
        <row r="1797">
          <cell r="A1797" t="str">
            <v>0100-00402-01</v>
          </cell>
          <cell r="B1797" t="str">
            <v>SFW, Real Time Multicamera Play, MC1000-FC</v>
          </cell>
          <cell r="C1797">
            <v>7000</v>
          </cell>
        </row>
        <row r="1798">
          <cell r="A1798" t="str">
            <v>0100-00120-01</v>
          </cell>
          <cell r="B1798" t="str">
            <v>SFW, Software Multicamera Grouping</v>
          </cell>
          <cell r="C1798">
            <v>3150</v>
          </cell>
        </row>
        <row r="1799">
          <cell r="A1799" t="str">
            <v>0100-00979-01</v>
          </cell>
          <cell r="B1799" t="str">
            <v>SFW, 24 Video Tracks</v>
          </cell>
          <cell r="C1799">
            <v>695</v>
          </cell>
        </row>
        <row r="1800">
          <cell r="A1800" t="str">
            <v>0100-00161-01</v>
          </cell>
          <cell r="B1800" t="str">
            <v>SFW, Film Matchback</v>
          </cell>
          <cell r="C1800">
            <v>3850</v>
          </cell>
        </row>
        <row r="1801">
          <cell r="A1801" t="str">
            <v>0100-00636-01</v>
          </cell>
          <cell r="B1801" t="str">
            <v>SFW, Assistant Editor Option</v>
          </cell>
          <cell r="C1801">
            <v>2100</v>
          </cell>
        </row>
        <row r="1802">
          <cell r="A1802" t="str">
            <v>0100-00704-01</v>
          </cell>
          <cell r="B1802" t="str">
            <v>SFW, AVR77</v>
          </cell>
          <cell r="C1802">
            <v>3150</v>
          </cell>
        </row>
        <row r="1803">
          <cell r="A1803" t="str">
            <v>0100-00720-01</v>
          </cell>
          <cell r="B1803" t="str">
            <v>SFW, Script-Based Editing</v>
          </cell>
          <cell r="C1803">
            <v>3500</v>
          </cell>
        </row>
        <row r="1804">
          <cell r="A1804" t="str">
            <v>0100-00726-01</v>
          </cell>
          <cell r="B1804" t="str">
            <v>SFW, AVR 9s</v>
          </cell>
          <cell r="C1804">
            <v>3150</v>
          </cell>
        </row>
        <row r="1805">
          <cell r="A1805" t="str">
            <v>0100-00942-01</v>
          </cell>
          <cell r="B1805" t="str">
            <v>SFW, Intraframe Editing</v>
          </cell>
          <cell r="C1805">
            <v>3000</v>
          </cell>
        </row>
        <row r="1806">
          <cell r="A1806" t="str">
            <v>0100-00950-01</v>
          </cell>
          <cell r="B1806" t="str">
            <v>SFW, Offline Package</v>
          </cell>
          <cell r="C1806">
            <v>8750</v>
          </cell>
        </row>
        <row r="1807">
          <cell r="A1807" t="str">
            <v>0010-00790-01</v>
          </cell>
          <cell r="B1807" t="str">
            <v>SFW, Film Package</v>
          </cell>
          <cell r="C1807">
            <v>8750</v>
          </cell>
        </row>
        <row r="1808">
          <cell r="A1808" t="str">
            <v>0010-00683-01</v>
          </cell>
          <cell r="B1808" t="str">
            <v>AvidDroid Controller</v>
          </cell>
          <cell r="C1808">
            <v>3500</v>
          </cell>
        </row>
        <row r="1809">
          <cell r="A1809" t="str">
            <v>0080-00040-01</v>
          </cell>
          <cell r="B1809" t="str">
            <v>VLX Rack, 1 Tran, 2 Receivers</v>
          </cell>
          <cell r="C1809">
            <v>3450</v>
          </cell>
        </row>
        <row r="1810">
          <cell r="A1810" t="str">
            <v>0080-00056-01</v>
          </cell>
          <cell r="B1810" t="str">
            <v>VLX Rack, 2 Receivers</v>
          </cell>
          <cell r="C1810">
            <v>2950</v>
          </cell>
        </row>
        <row r="1811">
          <cell r="A1811" t="str">
            <v>0080-00074-01</v>
          </cell>
          <cell r="B1811" t="str">
            <v>Kit, Media Reader-VITC Decoder</v>
          </cell>
          <cell r="C1811">
            <v>3500</v>
          </cell>
        </row>
        <row r="1812">
          <cell r="A1812" t="str">
            <v>0040-00029-01</v>
          </cell>
          <cell r="B1812" t="str">
            <v>Mon, JVC 13",BM-H1300SU</v>
          </cell>
          <cell r="C1812">
            <v>1195</v>
          </cell>
        </row>
        <row r="1813">
          <cell r="A1813" t="str">
            <v>0040-00031-01</v>
          </cell>
          <cell r="B1813" t="str">
            <v>Mon,Ikegami 20",TM20-20RH/RP</v>
          </cell>
          <cell r="C1813">
            <v>6580</v>
          </cell>
        </row>
        <row r="1814">
          <cell r="A1814" t="str">
            <v>0010-00033-01</v>
          </cell>
          <cell r="B1814" t="str">
            <v>Kit, Rackmount, 3D Effects Mod</v>
          </cell>
          <cell r="C1814">
            <v>150</v>
          </cell>
        </row>
        <row r="1815">
          <cell r="A1815" t="str">
            <v>0070-00033-01</v>
          </cell>
          <cell r="B1815" t="str">
            <v>RS422 Deck Control Kit</v>
          </cell>
          <cell r="C1815">
            <v>100</v>
          </cell>
        </row>
        <row r="1816">
          <cell r="A1816" t="str">
            <v>0070-00507-01</v>
          </cell>
          <cell r="B1816" t="str">
            <v>PC Deck Control Cable RS232-RS422</v>
          </cell>
          <cell r="C1816">
            <v>100</v>
          </cell>
        </row>
        <row r="1817">
          <cell r="A1817" t="str">
            <v>0070-00506-01</v>
          </cell>
          <cell r="B1817" t="str">
            <v>Cable, VTR Emulation NT</v>
          </cell>
          <cell r="C1817">
            <v>150</v>
          </cell>
        </row>
        <row r="1818">
          <cell r="A1818" t="str">
            <v>0110-00084-01</v>
          </cell>
          <cell r="B1818" t="str">
            <v>Black Burst Generator,  NTSC</v>
          </cell>
          <cell r="C1818">
            <v>525</v>
          </cell>
        </row>
        <row r="1819">
          <cell r="A1819" t="str">
            <v>0110-00085-01</v>
          </cell>
          <cell r="B1819" t="str">
            <v>Black Burst Generator,  PAL</v>
          </cell>
          <cell r="C1819">
            <v>525</v>
          </cell>
        </row>
        <row r="1820">
          <cell r="A1820" t="str">
            <v>0120-00015-01</v>
          </cell>
          <cell r="B1820" t="str">
            <v>Mackie 1604VLZ w/8-Chan Cbls,110V</v>
          </cell>
          <cell r="C1820">
            <v>1400</v>
          </cell>
        </row>
        <row r="1821">
          <cell r="A1821" t="str">
            <v>0120-00017-01</v>
          </cell>
          <cell r="B1821" t="str">
            <v>Mackie 1604VLZ w/8-Chan Cbls,220V</v>
          </cell>
          <cell r="C1821">
            <v>1400</v>
          </cell>
        </row>
        <row r="1822">
          <cell r="A1822" t="str">
            <v>0070-00205-01</v>
          </cell>
          <cell r="B1822" t="str">
            <v>Cbl, #160, VTR Emulation</v>
          </cell>
          <cell r="C1822">
            <v>100</v>
          </cell>
        </row>
        <row r="1823">
          <cell r="A1823" t="str">
            <v>0130-04120-01</v>
          </cell>
          <cell r="B1823" t="str">
            <v xml:space="preserve">Avid Media Composer XL Win. NT Site Preparation Guide </v>
          </cell>
          <cell r="C1823">
            <v>50</v>
          </cell>
        </row>
        <row r="1824">
          <cell r="A1824" t="str">
            <v>0130-04121-01</v>
          </cell>
          <cell r="B1824" t="str">
            <v xml:space="preserve">Avid Media Composer XL Win. NT Setup Guide </v>
          </cell>
          <cell r="C1824">
            <v>50</v>
          </cell>
        </row>
        <row r="1825">
          <cell r="A1825" t="str">
            <v>0130-04122-01</v>
          </cell>
          <cell r="B1825" t="str">
            <v>Avid Media Composer XL Win. NT User's Guide</v>
          </cell>
          <cell r="C1825">
            <v>75</v>
          </cell>
        </row>
        <row r="1826">
          <cell r="A1826" t="str">
            <v>0130-04123-01</v>
          </cell>
          <cell r="B1826" t="str">
            <v>Avid Media Composer XL Win. NT Getting Started Guide</v>
          </cell>
          <cell r="C1826">
            <v>75</v>
          </cell>
        </row>
        <row r="1827">
          <cell r="A1827" t="str">
            <v>0130-04124-01</v>
          </cell>
          <cell r="B1827" t="str">
            <v xml:space="preserve">Avid Media Composer XL Win. NT Effects Guide </v>
          </cell>
          <cell r="C1827">
            <v>75</v>
          </cell>
        </row>
        <row r="1828">
          <cell r="A1828" t="str">
            <v>0130-04125-01</v>
          </cell>
          <cell r="B1828" t="str">
            <v>Avid Media Composer XL Win. NT Quick Reference</v>
          </cell>
          <cell r="C1828">
            <v>25</v>
          </cell>
        </row>
        <row r="1829">
          <cell r="A1829" t="str">
            <v>0130-04126-01</v>
          </cell>
          <cell r="B1829" t="str">
            <v xml:space="preserve">Avid Media Composer XL Win. NT Reference </v>
          </cell>
          <cell r="C1829">
            <v>75</v>
          </cell>
        </row>
        <row r="1830">
          <cell r="A1830" t="str">
            <v>0130-03007-01</v>
          </cell>
          <cell r="B1830" t="str">
            <v>Doc, Avid MediaDrive Utilities Win NT User's Guide</v>
          </cell>
          <cell r="C1830">
            <v>50</v>
          </cell>
        </row>
        <row r="1831">
          <cell r="A1831" t="str">
            <v>0130-01362-01</v>
          </cell>
          <cell r="B1831" t="str">
            <v>EDL Manager Win. NT User's Guide</v>
          </cell>
          <cell r="C1831">
            <v>50</v>
          </cell>
        </row>
        <row r="1832">
          <cell r="A1832" t="str">
            <v>0130-04014-01</v>
          </cell>
          <cell r="B1832" t="str">
            <v>Avid Media Composer XL Mac 8.0 Getting Started Guide</v>
          </cell>
          <cell r="C1832">
            <v>50</v>
          </cell>
        </row>
        <row r="1833">
          <cell r="A1833" t="str">
            <v>0130-04015-01</v>
          </cell>
          <cell r="B1833" t="str">
            <v>Avid Media Composer XL Mac 8.0 User's Guide</v>
          </cell>
          <cell r="C1833">
            <v>75</v>
          </cell>
        </row>
        <row r="1834">
          <cell r="A1834" t="str">
            <v>0130-04016-01</v>
          </cell>
          <cell r="B1834" t="str">
            <v xml:space="preserve">Avid Media Composer XL Mac 8.0 Quick Reference </v>
          </cell>
          <cell r="C1834">
            <v>25</v>
          </cell>
        </row>
        <row r="1835">
          <cell r="A1835" t="str">
            <v>0130-04156-01</v>
          </cell>
          <cell r="B1835" t="str">
            <v>Avid Media Composer XL Mac 8.0 Site Preparation</v>
          </cell>
          <cell r="C1835">
            <v>50</v>
          </cell>
        </row>
        <row r="1836">
          <cell r="A1836" t="str">
            <v>0130-04017-01</v>
          </cell>
          <cell r="B1836" t="str">
            <v xml:space="preserve">Avid Media Composer XL Mac 8.0 Effects Guide </v>
          </cell>
          <cell r="C1836">
            <v>75</v>
          </cell>
        </row>
        <row r="1837">
          <cell r="A1837" t="str">
            <v>0010-03190-01</v>
          </cell>
          <cell r="B1837" t="str">
            <v>Avid Media Composer XL Win. NT, NTSC/PAL Tutorial, Media Kit</v>
          </cell>
          <cell r="C1837">
            <v>50</v>
          </cell>
        </row>
        <row r="1838">
          <cell r="A1838" t="str">
            <v>0010-03189-01</v>
          </cell>
          <cell r="B1838" t="str">
            <v xml:space="preserve">Avid Media Composer XL Win. NT, Online Publications CD </v>
          </cell>
          <cell r="C1838">
            <v>50</v>
          </cell>
        </row>
        <row r="1839">
          <cell r="A1839" t="str">
            <v>0010-03093-01</v>
          </cell>
          <cell r="B1839" t="str">
            <v>Avid MC XL Mac Online Publications, Media Kit</v>
          </cell>
          <cell r="C1839">
            <v>50</v>
          </cell>
        </row>
        <row r="1840">
          <cell r="A1840" t="str">
            <v>0010-03095-01</v>
          </cell>
          <cell r="B1840" t="str">
            <v>Avid MC XL Mac, NTSC/PAL Tutorial, Media Kit</v>
          </cell>
          <cell r="C1840">
            <v>50</v>
          </cell>
        </row>
        <row r="1841">
          <cell r="A1841" t="str">
            <v>0010-00693-01</v>
          </cell>
          <cell r="B1841" t="str">
            <v>Kit, Elastic Reality V 3.1 Mac Doc</v>
          </cell>
          <cell r="C1841">
            <v>50</v>
          </cell>
        </row>
        <row r="1842">
          <cell r="A1842" t="str">
            <v>0010-00692-01</v>
          </cell>
          <cell r="B1842" t="str">
            <v>Kit, Elastic Reality V 3.1 Windows Doc</v>
          </cell>
          <cell r="C1842">
            <v>50</v>
          </cell>
        </row>
        <row r="1843">
          <cell r="A1843" t="str">
            <v>0060-00024-03</v>
          </cell>
          <cell r="B1843" t="str">
            <v>UI, Avid keyboard for Macintosh G4, Thailand</v>
          </cell>
          <cell r="C1843">
            <v>175</v>
          </cell>
        </row>
        <row r="1844">
          <cell r="A1844" t="str">
            <v>0060-00028-02</v>
          </cell>
          <cell r="B1844" t="str">
            <v>MC Keycaps for Macintosh G4, Thailand keyboard</v>
          </cell>
          <cell r="C1844">
            <v>100</v>
          </cell>
        </row>
        <row r="1845">
          <cell r="A1845" t="str">
            <v>0060-00065-10</v>
          </cell>
          <cell r="B1845" t="str">
            <v>MC &amp; Symphony NT Keyboard</v>
          </cell>
          <cell r="C1845">
            <v>100</v>
          </cell>
        </row>
        <row r="1846">
          <cell r="A1846" t="str">
            <v>0010-00877-01</v>
          </cell>
          <cell r="B1846" t="str">
            <v>MediaShare F/C for MC 7.0/Xpress 2.0</v>
          </cell>
          <cell r="C1846">
            <v>2395</v>
          </cell>
        </row>
        <row r="1847">
          <cell r="A1847" t="str">
            <v>0010-00770-10</v>
          </cell>
          <cell r="B1847" t="str">
            <v>MediaShare F/C for MC 6.5.3/Xpress 1.5.3</v>
          </cell>
          <cell r="C1847">
            <v>2395</v>
          </cell>
        </row>
        <row r="1848">
          <cell r="A1848" t="str">
            <v>0020-00490-01</v>
          </cell>
          <cell r="B1848" t="str">
            <v>36GB MEDIArray Rack Mount</v>
          </cell>
          <cell r="C1848">
            <v>8640</v>
          </cell>
        </row>
        <row r="1849">
          <cell r="A1849" t="str">
            <v>0020-00491-01</v>
          </cell>
          <cell r="B1849" t="str">
            <v>36GB MEDIArray Desk Side</v>
          </cell>
          <cell r="C1849">
            <v>9715</v>
          </cell>
        </row>
        <row r="1850">
          <cell r="A1850" t="str">
            <v>0020-03000-01</v>
          </cell>
          <cell r="B1850" t="str">
            <v>72GB MEDIArray Add-on Storage</v>
          </cell>
          <cell r="C1850">
            <v>7970</v>
          </cell>
        </row>
        <row r="1851">
          <cell r="A1851" t="str">
            <v>0010-03027-01</v>
          </cell>
          <cell r="B1851" t="str">
            <v>108GB MEDIArray Rack Mount</v>
          </cell>
          <cell r="C1851">
            <v>16300</v>
          </cell>
        </row>
        <row r="1852">
          <cell r="A1852" t="str">
            <v>0010-03028-01</v>
          </cell>
          <cell r="B1852" t="str">
            <v>108GB MEDIArray Desk Side</v>
          </cell>
          <cell r="C1852">
            <v>17380</v>
          </cell>
        </row>
        <row r="1853">
          <cell r="A1853" t="str">
            <v>0010-03029-01</v>
          </cell>
          <cell r="B1853" t="str">
            <v>180GB MEDIArray Rack Mount</v>
          </cell>
          <cell r="C1853">
            <v>23655</v>
          </cell>
        </row>
        <row r="1854">
          <cell r="A1854" t="str">
            <v>0010-03030-01</v>
          </cell>
          <cell r="B1854" t="str">
            <v>180GB MEDIArray Desk Side</v>
          </cell>
          <cell r="C1854">
            <v>24730</v>
          </cell>
        </row>
        <row r="1855">
          <cell r="A1855" t="str">
            <v xml:space="preserve">0010-00768-01 </v>
          </cell>
          <cell r="B1855" t="str">
            <v>Fibre Channel Adapter Board</v>
          </cell>
          <cell r="C1855">
            <v>1495</v>
          </cell>
        </row>
        <row r="1856">
          <cell r="A1856" t="str">
            <v>0080-00140-01</v>
          </cell>
          <cell r="B1856" t="str">
            <v>9 Port Copper FC-AL Hub</v>
          </cell>
          <cell r="C1856">
            <v>3795</v>
          </cell>
        </row>
        <row r="1857">
          <cell r="A1857" t="str">
            <v>0890-00114-01</v>
          </cell>
          <cell r="B1857" t="str">
            <v>Single Hub Rack Kit</v>
          </cell>
          <cell r="C1857">
            <v>95</v>
          </cell>
        </row>
        <row r="1858">
          <cell r="A1858" t="str">
            <v>0010-03571-01</v>
          </cell>
          <cell r="B1858" t="str">
            <v>Kit,Vixel 8100 Switch &amp; rack</v>
          </cell>
          <cell r="C1858">
            <v>13815</v>
          </cell>
        </row>
        <row r="1859">
          <cell r="A1859" t="str">
            <v>0070-03034-01</v>
          </cell>
          <cell r="B1859" t="str">
            <v>Cbl,DB9 Copper Active GBIC</v>
          </cell>
          <cell r="C1859">
            <v>145</v>
          </cell>
        </row>
        <row r="1860">
          <cell r="A1860" t="str">
            <v>0070-03035-01</v>
          </cell>
          <cell r="B1860" t="str">
            <v>Cbl,Optical Shortwave GBIC</v>
          </cell>
          <cell r="C1860">
            <v>575</v>
          </cell>
        </row>
        <row r="1861">
          <cell r="A1861" t="str">
            <v>0070-00490-01</v>
          </cell>
          <cell r="B1861" t="str">
            <v>Copper-Optical Media Interface Adapter</v>
          </cell>
          <cell r="C1861">
            <v>595</v>
          </cell>
        </row>
        <row r="1862">
          <cell r="A1862" t="str">
            <v>0070-00492-02</v>
          </cell>
          <cell r="B1862" t="str">
            <v>3 Meter Cable</v>
          </cell>
          <cell r="C1862">
            <v>95</v>
          </cell>
        </row>
        <row r="1863">
          <cell r="A1863" t="str">
            <v>0070-00492-04</v>
          </cell>
          <cell r="B1863" t="str">
            <v>10 Meter Cable</v>
          </cell>
          <cell r="C1863">
            <v>175</v>
          </cell>
        </row>
        <row r="1864">
          <cell r="A1864" t="str">
            <v>0070-00493-04</v>
          </cell>
          <cell r="B1864" t="str">
            <v>30 Meter Cable</v>
          </cell>
          <cell r="C1864">
            <v>395</v>
          </cell>
        </row>
        <row r="1865">
          <cell r="A1865" t="str">
            <v>0050-00359-01</v>
          </cell>
          <cell r="B1865" t="str">
            <v>18GB 10K rpm Drive in Carrier</v>
          </cell>
          <cell r="C1865">
            <v>1995</v>
          </cell>
        </row>
        <row r="1866">
          <cell r="A1866" t="str">
            <v>0080-00141-01</v>
          </cell>
          <cell r="B1866" t="str">
            <v>MSDE Link Control Card</v>
          </cell>
          <cell r="C1866">
            <v>1095</v>
          </cell>
        </row>
        <row r="1867">
          <cell r="A1867" t="str">
            <v>0050-00359-01</v>
          </cell>
          <cell r="B1867" t="str">
            <v>18GB 10K rpm Drive in Carrier</v>
          </cell>
          <cell r="C1867">
            <v>1995</v>
          </cell>
        </row>
        <row r="1868">
          <cell r="A1868" t="str">
            <v>0080-00141-01</v>
          </cell>
          <cell r="B1868" t="str">
            <v>MSDE Link Control Card</v>
          </cell>
          <cell r="C1868">
            <v>1095</v>
          </cell>
        </row>
        <row r="1869">
          <cell r="A1869" t="str">
            <v>0840-00045-01</v>
          </cell>
          <cell r="B1869" t="str">
            <v>MSDE Power Supply</v>
          </cell>
          <cell r="C1869">
            <v>995</v>
          </cell>
        </row>
        <row r="1870">
          <cell r="A1870" t="str">
            <v>0010-03031-01</v>
          </cell>
          <cell r="B1870" t="str">
            <v>108GB MEDIArray Rack Mount Demo Kit</v>
          </cell>
          <cell r="C1870" t="str">
            <v>N/A</v>
          </cell>
        </row>
        <row r="1871">
          <cell r="A1871" t="str">
            <v>0020-03027-01</v>
          </cell>
          <cell r="B1871" t="str">
            <v>MediaDock LVD Tower System</v>
          </cell>
          <cell r="C1871">
            <v>3280</v>
          </cell>
        </row>
        <row r="1872">
          <cell r="A1872" t="str">
            <v>0020-03028-01</v>
          </cell>
          <cell r="B1872" t="str">
            <v>MediaDock LVD Rack System</v>
          </cell>
          <cell r="C1872">
            <v>2995</v>
          </cell>
        </row>
        <row r="1873">
          <cell r="A1873" t="str">
            <v>0020-03079-01</v>
          </cell>
          <cell r="B1873" t="str">
            <v>iS18 MediaDock LVD Shuttle</v>
          </cell>
          <cell r="C1873">
            <v>1885</v>
          </cell>
        </row>
        <row r="1874">
          <cell r="A1874" t="str">
            <v>0020-03078-01</v>
          </cell>
          <cell r="B1874" t="str">
            <v>iS36 MediaDock LVD Shuttle</v>
          </cell>
          <cell r="C1874">
            <v>3040</v>
          </cell>
        </row>
        <row r="1875">
          <cell r="A1875" t="str">
            <v>0010-03495-01</v>
          </cell>
          <cell r="B1875" t="str">
            <v>Demo Kit: iS18 MediaDock LVD Tower</v>
          </cell>
          <cell r="C1875" t="str">
            <v>N/A</v>
          </cell>
        </row>
        <row r="1876">
          <cell r="A1876" t="str">
            <v>0010-03496-01</v>
          </cell>
          <cell r="B1876" t="str">
            <v>Demo Kit: iS18 MediaDock LVD Rack</v>
          </cell>
          <cell r="C1876" t="str">
            <v>N/A</v>
          </cell>
        </row>
        <row r="1877">
          <cell r="A1877" t="str">
            <v>0010-03747-01</v>
          </cell>
          <cell r="B1877" t="str">
            <v>Demo Kit: iS36 MediaDock LVD Tower</v>
          </cell>
          <cell r="C1877" t="str">
            <v>N/A</v>
          </cell>
        </row>
        <row r="1878">
          <cell r="A1878" t="str">
            <v>0010-03748-01</v>
          </cell>
          <cell r="B1878" t="str">
            <v>Demo Kit: iS36 MediaDock LVD Rack</v>
          </cell>
          <cell r="C1878" t="str">
            <v>N/A</v>
          </cell>
        </row>
        <row r="1879">
          <cell r="A1879" t="str">
            <v>0840-03003-01</v>
          </cell>
          <cell r="B1879" t="str">
            <v>MediaDock LVD Power Supply</v>
          </cell>
          <cell r="C1879">
            <v>525</v>
          </cell>
        </row>
        <row r="1880">
          <cell r="A1880" t="str">
            <v>0020-00487-02</v>
          </cell>
          <cell r="B1880" t="str">
            <v>iS18 Plus MediaDock Shuttle*</v>
          </cell>
          <cell r="C1880">
            <v>2195</v>
          </cell>
        </row>
        <row r="1881">
          <cell r="A1881" t="str">
            <v>0840-00021-02</v>
          </cell>
          <cell r="B1881" t="str">
            <v>MediaDock Power Supply</v>
          </cell>
          <cell r="C1881">
            <v>495</v>
          </cell>
        </row>
        <row r="1882">
          <cell r="A1882" t="str">
            <v>0170-00079-01</v>
          </cell>
          <cell r="B1882" t="str">
            <v xml:space="preserve">ShuttleCase™, Universal </v>
          </cell>
          <cell r="C1882">
            <v>375</v>
          </cell>
        </row>
        <row r="1883">
          <cell r="A1883" t="str">
            <v>0020-03033-01</v>
          </cell>
          <cell r="B1883" t="str">
            <v>MediaDrive rS9 LVD **</v>
          </cell>
          <cell r="C1883">
            <v>1380</v>
          </cell>
        </row>
        <row r="1884">
          <cell r="A1884" t="str">
            <v>0020-03034-01</v>
          </cell>
          <cell r="B1884" t="str">
            <v>MediaDrive rS18 LVD **</v>
          </cell>
          <cell r="C1884">
            <v>1885</v>
          </cell>
        </row>
        <row r="1885">
          <cell r="A1885" t="str">
            <v>0020-03077-01</v>
          </cell>
          <cell r="B1885" t="str">
            <v>MediaDrive rS36 LVD **</v>
          </cell>
          <cell r="C1885">
            <v>3040</v>
          </cell>
        </row>
        <row r="1886">
          <cell r="A1886" t="str">
            <v>0010-03167-01</v>
          </cell>
          <cell r="B1886" t="str">
            <v>MediaDrive rS18 LVD Demo Kit</v>
          </cell>
          <cell r="C1886" t="str">
            <v>N/A</v>
          </cell>
        </row>
        <row r="1887">
          <cell r="A1887" t="str">
            <v>0010-03748-01</v>
          </cell>
          <cell r="B1887" t="str">
            <v>MediaDrive rS36 LVD Demo Kit</v>
          </cell>
          <cell r="C1887" t="str">
            <v>N/A</v>
          </cell>
        </row>
        <row r="1888">
          <cell r="A1888" t="str">
            <v>0020-03022-01</v>
          </cell>
          <cell r="B1888" t="str">
            <v>MediaDrive rS Rack-mount kit</v>
          </cell>
          <cell r="C1888">
            <v>95</v>
          </cell>
        </row>
        <row r="1889">
          <cell r="A1889" t="str">
            <v>0760-03004-01</v>
          </cell>
          <cell r="B1889" t="str">
            <v xml:space="preserve">Optional 22" slide rails </v>
          </cell>
          <cell r="C1889">
            <v>70</v>
          </cell>
        </row>
        <row r="1890">
          <cell r="A1890" t="str">
            <v>0760-03006-01</v>
          </cell>
          <cell r="B1890" t="str">
            <v>Optional 7" slide-rail extentions</v>
          </cell>
          <cell r="C1890">
            <v>15</v>
          </cell>
        </row>
        <row r="1891">
          <cell r="A1891" t="str">
            <v>0010-00772-01</v>
          </cell>
          <cell r="B1891" t="str">
            <v>Avid/Mezzo Archiver v3.5 Software</v>
          </cell>
          <cell r="C1891">
            <v>699</v>
          </cell>
        </row>
        <row r="1892">
          <cell r="A1892" t="str">
            <v>0010-03472-01</v>
          </cell>
          <cell r="B1892" t="str">
            <v>Avid/Mezzo Archiver v3.5 Upgrade</v>
          </cell>
          <cell r="C1892">
            <v>115</v>
          </cell>
        </row>
        <row r="1893">
          <cell r="A1893" t="str">
            <v>0010-00658-01</v>
          </cell>
          <cell r="B1893" t="str">
            <v>iS Expander</v>
          </cell>
          <cell r="C1893">
            <v>1782</v>
          </cell>
        </row>
        <row r="1894">
          <cell r="A1894" t="str">
            <v>0050-00168-01</v>
          </cell>
          <cell r="B1894" t="str">
            <v>(1) DLTape IV Cartridge</v>
          </cell>
          <cell r="C1894">
            <v>159</v>
          </cell>
        </row>
        <row r="1895">
          <cell r="A1895" t="str">
            <v>0190-00016-01</v>
          </cell>
          <cell r="B1895" t="str">
            <v xml:space="preserve">DLT Cleaning Cartridge </v>
          </cell>
          <cell r="C1895">
            <v>75</v>
          </cell>
        </row>
        <row r="1896">
          <cell r="A1896" t="str">
            <v>0010-03372-01</v>
          </cell>
          <cell r="B1896" t="str">
            <v>UL2D (LVD)***</v>
          </cell>
          <cell r="C1896">
            <v>1215</v>
          </cell>
        </row>
        <row r="1897">
          <cell r="A1897" t="str">
            <v>0010-00583-01</v>
          </cell>
          <cell r="B1897" t="str">
            <v xml:space="preserve">E-PCI </v>
          </cell>
          <cell r="C1897">
            <v>595</v>
          </cell>
        </row>
        <row r="1898">
          <cell r="A1898" t="str">
            <v>0010-00585-01</v>
          </cell>
          <cell r="B1898" t="str">
            <v>E-PCI-Dual</v>
          </cell>
          <cell r="C1898">
            <v>1215</v>
          </cell>
        </row>
        <row r="1899">
          <cell r="A1899" t="str">
            <v>0070-00428-01</v>
          </cell>
          <cell r="B1899" t="str">
            <v>Wide/LVD Fixed Drive to Wide/LVD Fixed Drive Cable</v>
          </cell>
          <cell r="C1899">
            <v>51</v>
          </cell>
        </row>
        <row r="1900">
          <cell r="A1900" t="str">
            <v>0070-00172-01</v>
          </cell>
          <cell r="B1900" t="str">
            <v>SE4/EPCI to MediaDock/Wide Drive Cable</v>
          </cell>
          <cell r="C1900">
            <v>55</v>
          </cell>
        </row>
        <row r="1901">
          <cell r="A1901" t="str">
            <v>0070-00502-01</v>
          </cell>
          <cell r="B1901" t="str">
            <v>LVD Controller to LVD Drive Cable (short)</v>
          </cell>
          <cell r="C1901">
            <v>84</v>
          </cell>
        </row>
        <row r="1902">
          <cell r="A1902" t="str">
            <v>0070-03016-01</v>
          </cell>
          <cell r="B1902" t="str">
            <v>LVD Controller to LVD Drive Cable (medium)</v>
          </cell>
          <cell r="C1902">
            <v>111</v>
          </cell>
        </row>
        <row r="1903">
          <cell r="A1903" t="str">
            <v>0070-03016-02</v>
          </cell>
          <cell r="B1903" t="str">
            <v>LVD Controller to LVD Drive Cable (long)</v>
          </cell>
          <cell r="C1903">
            <v>182</v>
          </cell>
        </row>
        <row r="1904">
          <cell r="A1904" t="str">
            <v>0070-00174-01</v>
          </cell>
          <cell r="B1904" t="str">
            <v>SE2 or Native SCSI to Wide Drive Cable</v>
          </cell>
          <cell r="C1904">
            <v>80</v>
          </cell>
        </row>
        <row r="1905">
          <cell r="A1905" t="str">
            <v>0070-03011-01</v>
          </cell>
          <cell r="B1905" t="str">
            <v>Multimode LVD/Wide Terminator</v>
          </cell>
          <cell r="C1905">
            <v>55</v>
          </cell>
        </row>
        <row r="1906">
          <cell r="A1906" t="str">
            <v>0010-00641-01</v>
          </cell>
          <cell r="B1906" t="str">
            <v>iS Termination Kit</v>
          </cell>
          <cell r="C1906">
            <v>265</v>
          </cell>
        </row>
        <row r="1907">
          <cell r="A1907" t="str">
            <v>0010-00656-01</v>
          </cell>
          <cell r="B1907" t="str">
            <v>iS MediaDock Termination Kit</v>
          </cell>
          <cell r="C1907">
            <v>265</v>
          </cell>
        </row>
        <row r="1908">
          <cell r="A1908" t="str">
            <v>0070-00442-01</v>
          </cell>
          <cell r="B1908" t="str">
            <v>Wide to Narrow Terminator</v>
          </cell>
          <cell r="C1908">
            <v>55</v>
          </cell>
        </row>
        <row r="1909">
          <cell r="A1909" t="str">
            <v>0070-00169-01</v>
          </cell>
          <cell r="B1909" t="str">
            <v>Differential Terminator</v>
          </cell>
          <cell r="C1909">
            <v>45</v>
          </cell>
        </row>
        <row r="1910">
          <cell r="A1910" t="str">
            <v>0540-00807-01</v>
          </cell>
          <cell r="B1910" t="str">
            <v>MNT, Assurance Symphony, NT Meridien</v>
          </cell>
          <cell r="C1910">
            <v>6000</v>
          </cell>
        </row>
        <row r="1911">
          <cell r="A1911" t="str">
            <v>0540-00808-01</v>
          </cell>
          <cell r="B1911" t="str">
            <v>MNT, Assurance Symphony, NT Meridien 7*24</v>
          </cell>
          <cell r="C1911">
            <v>6699</v>
          </cell>
        </row>
        <row r="1912">
          <cell r="A1912" t="str">
            <v>0540-03116-01</v>
          </cell>
          <cell r="B1912" t="str">
            <v>MNT, Assurance Symphony Univ, NT Meridien</v>
          </cell>
          <cell r="C1912">
            <v>6499</v>
          </cell>
        </row>
        <row r="1913">
          <cell r="A1913" t="str">
            <v>0540-03117-01</v>
          </cell>
          <cell r="B1913" t="str">
            <v>MNT, Assurance Symphony Univ, NT Meridien 7*24</v>
          </cell>
          <cell r="C1913">
            <v>7198</v>
          </cell>
        </row>
        <row r="1914">
          <cell r="A1914" t="str">
            <v>0540-03098-01</v>
          </cell>
          <cell r="B1914" t="str">
            <v>MNT, Assurance 9000 MacABVB 3D</v>
          </cell>
          <cell r="C1914">
            <v>2699</v>
          </cell>
        </row>
        <row r="1915">
          <cell r="A1915" t="str">
            <v>0540-03099-01</v>
          </cell>
          <cell r="B1915" t="str">
            <v>MNT, Assurance 9000 MacABVB  3D 7*24</v>
          </cell>
          <cell r="C1915">
            <v>3398</v>
          </cell>
        </row>
        <row r="1916">
          <cell r="A1916" t="str">
            <v>0540-03092-01</v>
          </cell>
          <cell r="B1916" t="str">
            <v>MNT, Assurance MC1000 MacABVB</v>
          </cell>
          <cell r="C1916">
            <v>2199</v>
          </cell>
        </row>
        <row r="1917">
          <cell r="A1917" t="str">
            <v>0540-03093-01</v>
          </cell>
          <cell r="B1917" t="str">
            <v>MNT, Assurance MC1000 MacABVB 7*24</v>
          </cell>
          <cell r="C1917">
            <v>2898</v>
          </cell>
        </row>
        <row r="1918">
          <cell r="A1918" t="str">
            <v>0540-03088-01</v>
          </cell>
          <cell r="B1918" t="str">
            <v>MNT, Assurance FilmComposer MacABVB</v>
          </cell>
          <cell r="C1918">
            <v>2199</v>
          </cell>
        </row>
        <row r="1919">
          <cell r="A1919" t="str">
            <v>0540-03089-01</v>
          </cell>
          <cell r="B1919" t="str">
            <v>MNT, Assurance FilmComposer MacABVB 7*24</v>
          </cell>
          <cell r="C1919">
            <v>2898</v>
          </cell>
        </row>
        <row r="1920">
          <cell r="A1920" t="str">
            <v>0540-03082-01</v>
          </cell>
          <cell r="B1920" t="str">
            <v>MNT, Assurance Offline MacABVB</v>
          </cell>
          <cell r="C1920">
            <v>2199</v>
          </cell>
        </row>
        <row r="1921">
          <cell r="A1921" t="str">
            <v>0540-03083-01</v>
          </cell>
          <cell r="B1921" t="str">
            <v>MNT, Assurance Offline MAcABVB 7*24</v>
          </cell>
          <cell r="C1921">
            <v>2898</v>
          </cell>
        </row>
        <row r="1922">
          <cell r="A1922" t="str">
            <v>0540-03104-01</v>
          </cell>
          <cell r="B1922" t="str">
            <v>MNT, Assurance Media Station MacABVB</v>
          </cell>
          <cell r="C1922">
            <v>1495</v>
          </cell>
        </row>
        <row r="1923">
          <cell r="A1923" t="str">
            <v>0540-03105-01</v>
          </cell>
          <cell r="B1923" t="str">
            <v>MNT, Assurance Media Station MacABVB 7*24</v>
          </cell>
          <cell r="C1923">
            <v>2194</v>
          </cell>
        </row>
        <row r="1924">
          <cell r="A1924" t="str">
            <v>0540-03061-01</v>
          </cell>
          <cell r="B1924" t="str">
            <v>MNT, Assurance, 1000XL Mac Meridien</v>
          </cell>
          <cell r="C1924">
            <v>2199</v>
          </cell>
        </row>
        <row r="1925">
          <cell r="A1925" t="str">
            <v>0540-03062-01</v>
          </cell>
          <cell r="B1925" t="str">
            <v>MNT, Assurance, 1000XL Mac Meridien w/7*24</v>
          </cell>
          <cell r="C1925">
            <v>2898</v>
          </cell>
        </row>
        <row r="1926">
          <cell r="A1926" t="str">
            <v>0540-03094-01</v>
          </cell>
          <cell r="B1926" t="str">
            <v>MNT, Assurance 1000XL Mac Mer 3D</v>
          </cell>
          <cell r="C1926">
            <v>2799</v>
          </cell>
        </row>
        <row r="1927">
          <cell r="A1927" t="str">
            <v>0540-03095-01</v>
          </cell>
          <cell r="B1927" t="str">
            <v>MNT, Assurance 1000XL Mac Mer 3D 7*24</v>
          </cell>
          <cell r="C1927">
            <v>3498</v>
          </cell>
        </row>
        <row r="1928">
          <cell r="A1928" t="str">
            <v>0540-03084-01</v>
          </cell>
          <cell r="B1928" t="str">
            <v>MNT, Assurance Offline MacMeridien</v>
          </cell>
          <cell r="C1928">
            <v>2199</v>
          </cell>
        </row>
        <row r="1929">
          <cell r="A1929" t="str">
            <v>0540-03085-01</v>
          </cell>
          <cell r="B1929" t="str">
            <v>MNT, Assurance Offline MacMeridien 7*24</v>
          </cell>
          <cell r="C1929">
            <v>2898</v>
          </cell>
        </row>
        <row r="1930">
          <cell r="A1930" t="str">
            <v>0540-03086-01</v>
          </cell>
          <cell r="B1930" t="str">
            <v>MNT, Assurance  Offline Mac Mer 3D</v>
          </cell>
          <cell r="C1930">
            <v>2799</v>
          </cell>
        </row>
        <row r="1931">
          <cell r="A1931" t="str">
            <v>0540-03087-01</v>
          </cell>
          <cell r="B1931" t="str">
            <v>MNT, Assurance  Offline Mac Mer 3D 7*24</v>
          </cell>
          <cell r="C1931">
            <v>3498</v>
          </cell>
        </row>
        <row r="1932">
          <cell r="A1932" t="str">
            <v>0540-03102-01</v>
          </cell>
          <cell r="B1932" t="str">
            <v>MNT, Assurance 9000XL NT Mer 3D</v>
          </cell>
          <cell r="C1932">
            <v>3899</v>
          </cell>
        </row>
        <row r="1933">
          <cell r="A1933" t="str">
            <v>0540-03103-01</v>
          </cell>
          <cell r="B1933" t="str">
            <v>MNT, Assurance 9000XL NT Mer 3D 7*24</v>
          </cell>
          <cell r="C1933">
            <v>4598</v>
          </cell>
        </row>
        <row r="1934">
          <cell r="A1934" t="str">
            <v>0540-03059-01</v>
          </cell>
          <cell r="B1934" t="str">
            <v>MNT, Assurance, 1000XL NT Meridien</v>
          </cell>
          <cell r="C1934">
            <v>2599</v>
          </cell>
        </row>
        <row r="1935">
          <cell r="A1935" t="str">
            <v>0540-03060-01</v>
          </cell>
          <cell r="B1935" t="str">
            <v>MNT, Assurance, 1000XL NT Meridien w/7*24</v>
          </cell>
          <cell r="C1935">
            <v>3298</v>
          </cell>
        </row>
        <row r="1936">
          <cell r="A1936" t="str">
            <v>0540-03096-01</v>
          </cell>
          <cell r="B1936" t="str">
            <v>MNT, Assurance 1000XL NT Mer 3D</v>
          </cell>
          <cell r="C1936">
            <v>3199</v>
          </cell>
        </row>
        <row r="1937">
          <cell r="A1937" t="str">
            <v>0540-03097-01</v>
          </cell>
          <cell r="B1937" t="str">
            <v>MNT, Assurance 1000XL NT Mer 3D 7*24</v>
          </cell>
          <cell r="C1937">
            <v>3898</v>
          </cell>
        </row>
        <row r="1938">
          <cell r="A1938" t="str">
            <v>0540-03090-01</v>
          </cell>
          <cell r="B1938" t="str">
            <v>MNT, Assurance FilmComposer NT Meridien</v>
          </cell>
          <cell r="C1938">
            <v>3099</v>
          </cell>
        </row>
        <row r="1939">
          <cell r="A1939" t="str">
            <v>0540-03091-01</v>
          </cell>
          <cell r="B1939" t="str">
            <v>MNT, Assurance FilmComposer NT Meridien 7*24</v>
          </cell>
          <cell r="C1939">
            <v>3798</v>
          </cell>
        </row>
        <row r="1940">
          <cell r="A1940" t="str">
            <v>0540-03063-01</v>
          </cell>
          <cell r="B1940" t="str">
            <v>MNT, Assurance Offline NT Meridien</v>
          </cell>
          <cell r="C1940">
            <v>2599</v>
          </cell>
        </row>
        <row r="1941">
          <cell r="A1941" t="str">
            <v>0540-03064-01</v>
          </cell>
          <cell r="B1941" t="str">
            <v>MNT, Assurance Offline NT Meridien 7*24</v>
          </cell>
          <cell r="C1941">
            <v>3298</v>
          </cell>
        </row>
        <row r="1942">
          <cell r="A1942" t="str">
            <v>0540-03080-01</v>
          </cell>
          <cell r="B1942" t="str">
            <v xml:space="preserve">MNT, Assurance MediaNet,  </v>
          </cell>
          <cell r="C1942">
            <v>2199</v>
          </cell>
        </row>
        <row r="1943">
          <cell r="A1943" t="str">
            <v>0540-03119-01</v>
          </cell>
          <cell r="B1943" t="str">
            <v>MNT, Assurance MediaNet,  24*7</v>
          </cell>
          <cell r="C1943">
            <v>2898</v>
          </cell>
        </row>
        <row r="1944">
          <cell r="A1944" t="str">
            <v>0540-03131-01</v>
          </cell>
          <cell r="B1944" t="str">
            <v>MNT, Assurance On-Site MediaNet</v>
          </cell>
          <cell r="C1944">
            <v>5699</v>
          </cell>
        </row>
        <row r="1945">
          <cell r="A1945" t="str">
            <v>0540-03132-01</v>
          </cell>
          <cell r="B1945" t="str">
            <v>MNT, Assurance On-site MediaNet 24*7</v>
          </cell>
          <cell r="C1945">
            <v>6398</v>
          </cell>
        </row>
        <row r="1946">
          <cell r="A1946" t="str">
            <v>0540-03133-01</v>
          </cell>
          <cell r="B1946" t="str">
            <v>MNT, Assurance On-site Plus MediaNet</v>
          </cell>
          <cell r="C1946">
            <v>8699</v>
          </cell>
        </row>
        <row r="1947">
          <cell r="A1947" t="str">
            <v>0540-03134-01</v>
          </cell>
          <cell r="B1947" t="str">
            <v>MNT, Assurance On-site Plus MediaNet 24*7</v>
          </cell>
          <cell r="C1947">
            <v>9398</v>
          </cell>
        </row>
        <row r="1948">
          <cell r="A1948" t="str">
            <v>0540-03068-01</v>
          </cell>
          <cell r="B1948" t="str">
            <v>MNT, Assurance MediaNET, add MEdiARRAY</v>
          </cell>
          <cell r="C1948">
            <v>295</v>
          </cell>
        </row>
        <row r="1949">
          <cell r="A1949" t="str">
            <v>0540-03121-01</v>
          </cell>
          <cell r="B1949" t="str">
            <v>MNT, Assurance MediaNET, add MediaSWITCH</v>
          </cell>
          <cell r="C1949">
            <v>699</v>
          </cell>
        </row>
        <row r="1950">
          <cell r="A1950" t="str">
            <v>0550-00002-01</v>
          </cell>
          <cell r="B1950" t="str">
            <v>Media Composer Editing (101)</v>
          </cell>
          <cell r="C1950">
            <v>900</v>
          </cell>
        </row>
        <row r="1951">
          <cell r="A1951" t="str">
            <v xml:space="preserve">0550-00052-01 </v>
          </cell>
          <cell r="B1951" t="str">
            <v xml:space="preserve">On-site Media Composer Editing (101) </v>
          </cell>
          <cell r="C1951">
            <v>5250</v>
          </cell>
        </row>
        <row r="1952">
          <cell r="A1952" t="str">
            <v>0550-00009-01</v>
          </cell>
          <cell r="B1952" t="str">
            <v>Film Editing on Media Composer (102)</v>
          </cell>
          <cell r="C1952">
            <v>900</v>
          </cell>
        </row>
        <row r="1953">
          <cell r="A1953" t="str">
            <v xml:space="preserve">0550-00136-01 </v>
          </cell>
          <cell r="B1953" t="str">
            <v>On site Film Editing on Media Composer(102)</v>
          </cell>
          <cell r="C1953">
            <v>5250</v>
          </cell>
        </row>
        <row r="1954">
          <cell r="A1954" t="str">
            <v>0550-00015-01</v>
          </cell>
          <cell r="B1954" t="str">
            <v>Media Composer for Producers (107)</v>
          </cell>
          <cell r="C1954">
            <v>400</v>
          </cell>
        </row>
        <row r="1955">
          <cell r="A1955" t="str">
            <v xml:space="preserve">0550-00137-01 </v>
          </cell>
          <cell r="B1955" t="str">
            <v>On-site Media Composer for Producers (107)</v>
          </cell>
          <cell r="C1955">
            <v>1750</v>
          </cell>
        </row>
        <row r="1956">
          <cell r="A1956" t="str">
            <v>0550-00010-01</v>
          </cell>
          <cell r="B1956" t="str">
            <v>Advanced Techniques for Media Comp (201)</v>
          </cell>
          <cell r="C1956">
            <v>650</v>
          </cell>
        </row>
        <row r="1957">
          <cell r="A1957" t="str">
            <v xml:space="preserve">0550-00138-01 </v>
          </cell>
          <cell r="B1957" t="str">
            <v>On-site Advanced Tech for Media Comp (201)</v>
          </cell>
          <cell r="C1957">
            <v>3500</v>
          </cell>
        </row>
        <row r="1958">
          <cell r="A1958" t="str">
            <v>0550-00012-01</v>
          </cell>
          <cell r="B1958" t="str">
            <v>Media Comp: Integrating 3rd Party Graphics(303)</v>
          </cell>
          <cell r="C1958">
            <v>650</v>
          </cell>
        </row>
        <row r="1959">
          <cell r="A1959" t="str">
            <v xml:space="preserve">0550-00139-01 </v>
          </cell>
          <cell r="B1959" t="str">
            <v>On-site Media Comp: Integrating 3rd Party (303)</v>
          </cell>
          <cell r="C1959">
            <v>3500</v>
          </cell>
        </row>
        <row r="1960">
          <cell r="A1960" t="str">
            <v>0550-00011-01</v>
          </cell>
          <cell r="B1960" t="str">
            <v>Advanced Media Composer Effects (305)</v>
          </cell>
          <cell r="C1960">
            <v>650</v>
          </cell>
        </row>
        <row r="1961">
          <cell r="A1961" t="str">
            <v xml:space="preserve">0550-00140-01 </v>
          </cell>
          <cell r="B1961" t="str">
            <v>On-site Advanced Media Composer Effects (305)</v>
          </cell>
          <cell r="C1961">
            <v>3500</v>
          </cell>
        </row>
        <row r="1962">
          <cell r="A1962" t="str">
            <v>0550-00024-01</v>
          </cell>
          <cell r="B1962" t="str">
            <v>3D Effects on the Media Comp System(306)</v>
          </cell>
          <cell r="C1962">
            <v>400</v>
          </cell>
        </row>
        <row r="1963">
          <cell r="A1963" t="str">
            <v xml:space="preserve">0550-00141-01 </v>
          </cell>
          <cell r="B1963" t="str">
            <v>On-site 3D Effects on Media Composer Sys (306)</v>
          </cell>
          <cell r="C1963">
            <v>1750</v>
          </cell>
        </row>
        <row r="1964">
          <cell r="A1964" t="str">
            <v>0550-00013-01</v>
          </cell>
          <cell r="B1964" t="str">
            <v>Technical Troubleshooting for MC (205)</v>
          </cell>
          <cell r="C1964">
            <v>650</v>
          </cell>
        </row>
        <row r="1965">
          <cell r="A1965" t="str">
            <v xml:space="preserve">0550-00142-01 </v>
          </cell>
          <cell r="B1965" t="str">
            <v>On-site Technical Troubleshooting for MC (205)</v>
          </cell>
          <cell r="C1965">
            <v>3500</v>
          </cell>
        </row>
        <row r="1966">
          <cell r="A1966" t="str">
            <v>0550-00189-01</v>
          </cell>
          <cell r="B1966" t="str">
            <v>Media Composer In-Depth Workshop (100)</v>
          </cell>
          <cell r="C1966">
            <v>1250</v>
          </cell>
        </row>
        <row r="1967">
          <cell r="A1967" t="str">
            <v>0550-00190-01</v>
          </cell>
          <cell r="B1967" t="str">
            <v>On-Site Media Composer In-Depth Workshop (100)</v>
          </cell>
          <cell r="C1967">
            <v>8750</v>
          </cell>
        </row>
        <row r="1968">
          <cell r="A1968" t="str">
            <v>0550-00195-01</v>
          </cell>
          <cell r="B1968" t="str">
            <v>Media Composer Paint and Graphics (310)</v>
          </cell>
          <cell r="C1968">
            <v>650</v>
          </cell>
        </row>
        <row r="1969">
          <cell r="A1969" t="str">
            <v>0550-00196-01</v>
          </cell>
          <cell r="B1969" t="str">
            <v>On-Site Media Composer Paint and Graphics (310)</v>
          </cell>
          <cell r="C1969">
            <v>3500</v>
          </cell>
        </row>
        <row r="1970">
          <cell r="A1970" t="str">
            <v>0550-00192-01</v>
          </cell>
          <cell r="B1970" t="str">
            <v>Introduction to Effects</v>
          </cell>
          <cell r="C1970">
            <v>400</v>
          </cell>
        </row>
        <row r="1971">
          <cell r="A1971" t="str">
            <v>0550-00193-01</v>
          </cell>
          <cell r="B1971" t="str">
            <v>On-Site Introduction to Effects</v>
          </cell>
          <cell r="C1971">
            <v>1750</v>
          </cell>
        </row>
        <row r="1972">
          <cell r="A1972" t="str">
            <v>0550-00020-01</v>
          </cell>
          <cell r="B1972" t="str">
            <v>Matador: Paint &amp; Animation (141)</v>
          </cell>
          <cell r="C1972">
            <v>1500</v>
          </cell>
        </row>
        <row r="1973">
          <cell r="A1973" t="str">
            <v xml:space="preserve">0550-00086-01 </v>
          </cell>
          <cell r="B1973" t="str">
            <v>On-site  Matador: Paint &amp; Animation (141)</v>
          </cell>
          <cell r="C1973">
            <v>8750</v>
          </cell>
        </row>
        <row r="1974">
          <cell r="A1974" t="str">
            <v>0550-00021-01</v>
          </cell>
          <cell r="B1974" t="str">
            <v>Introduction to Media Illusion: Illusion Paint (142)</v>
          </cell>
          <cell r="C1974">
            <v>1500</v>
          </cell>
        </row>
        <row r="1975">
          <cell r="A1975" t="str">
            <v xml:space="preserve">0550-00148-01 </v>
          </cell>
          <cell r="B1975" t="str">
            <v>On-site  Intro to Media Illusion (142)</v>
          </cell>
          <cell r="C1975">
            <v>8750</v>
          </cell>
        </row>
        <row r="1976">
          <cell r="A1976" t="str">
            <v>0510-03102-01</v>
          </cell>
          <cell r="B1976" t="str">
            <v>UPG,MC OFFLINE XL/MAC TO MC1000XL/MAC Software Model UPG</v>
          </cell>
          <cell r="C1976">
            <v>24000</v>
          </cell>
        </row>
        <row r="1977">
          <cell r="A1977" t="str">
            <v>0510-03151-01</v>
          </cell>
          <cell r="B1977" t="str">
            <v>UPG, MC 1000XL,NT Meridien1- MC 9000XL NT Meridien2</v>
          </cell>
          <cell r="C1977">
            <v>45000</v>
          </cell>
        </row>
        <row r="1978">
          <cell r="A1978" t="str">
            <v xml:space="preserve">0510-03152-01 </v>
          </cell>
          <cell r="B1978" t="str">
            <v>UPG, MC 1000XL NT Meridien1,1:1- MC 9000XL NT Meridien2</v>
          </cell>
          <cell r="C1978">
            <v>30000</v>
          </cell>
        </row>
        <row r="1979">
          <cell r="A1979" t="str">
            <v xml:space="preserve">0510-03153-01 </v>
          </cell>
          <cell r="B1979" t="str">
            <v>UPG, MC 1000XL NT Meridien1,2x1:1- MC 9000XL NT Meridien2</v>
          </cell>
          <cell r="C1979">
            <v>25000</v>
          </cell>
        </row>
        <row r="1980">
          <cell r="A1980" t="str">
            <v xml:space="preserve">0510-03154-01 </v>
          </cell>
          <cell r="B1980" t="str">
            <v>UPG, MC 1000XL NT Meridien1,FX TO  MC 9000XL NT Meridien2</v>
          </cell>
          <cell r="C1980">
            <v>27500</v>
          </cell>
        </row>
        <row r="1981">
          <cell r="A1981" t="str">
            <v xml:space="preserve">0510-03155-01 </v>
          </cell>
          <cell r="B1981" t="str">
            <v>UPG, MC 1000XL NT Meridien1,1:1,FX- MC 9000XL NT Meridien2</v>
          </cell>
          <cell r="C1981">
            <v>12500</v>
          </cell>
        </row>
        <row r="1982">
          <cell r="A1982" t="str">
            <v xml:space="preserve">0510-03156-01 </v>
          </cell>
          <cell r="B1982" t="str">
            <v>UPG, MC 1000XL NT Meridien1,2x1:1,FX- MC 9000XL NT Meridien2</v>
          </cell>
          <cell r="C1982">
            <v>7500</v>
          </cell>
        </row>
        <row r="1983">
          <cell r="A1983" t="str">
            <v xml:space="preserve">0510-03157-01 </v>
          </cell>
          <cell r="B1983" t="str">
            <v>UPG, MC OFFLINE XL NT Meridien1- MC 1000XL NT Meridien2</v>
          </cell>
          <cell r="C1983">
            <v>24000</v>
          </cell>
        </row>
        <row r="1984">
          <cell r="A1984" t="str">
            <v xml:space="preserve">0510-03158-01 </v>
          </cell>
          <cell r="B1984" t="str">
            <v>UPG, MC 1000 XL NT Meridien2,2x1:1,FX,UO, -  MC 9000 XL</v>
          </cell>
          <cell r="C1984">
            <v>2500</v>
          </cell>
        </row>
        <row r="1985">
          <cell r="A1985" t="str">
            <v xml:space="preserve">0510-03159-01 </v>
          </cell>
          <cell r="B1985" t="str">
            <v>UPG, MC OFFLINE XL NT Meridien2- MC 1000 XL NT Meridien2</v>
          </cell>
          <cell r="C1985">
            <v>24000</v>
          </cell>
        </row>
        <row r="1986">
          <cell r="A1986" t="str">
            <v xml:space="preserve">0510-03160-01 </v>
          </cell>
          <cell r="B1986" t="str">
            <v>UPG, MC OFFLINE XL NT Meridien2,UO,FX,- FC XL NT Meridien2</v>
          </cell>
          <cell r="C1986">
            <v>500</v>
          </cell>
        </row>
        <row r="1987">
          <cell r="A1987" t="str">
            <v xml:space="preserve">0510-03161-01 </v>
          </cell>
          <cell r="B1987" t="str">
            <v>UPG, MC OFFLINE XL NT Meridien2,UO,FX,-  MC 9000XL</v>
          </cell>
          <cell r="C1987">
            <v>36500</v>
          </cell>
        </row>
        <row r="1988">
          <cell r="A1988" t="str">
            <v xml:space="preserve">0510-03162-01 </v>
          </cell>
          <cell r="B1988" t="str">
            <v>UPG, FC XL, NT Meridien2- MC 9000XL NT Meridien2</v>
          </cell>
          <cell r="C1988">
            <v>36000</v>
          </cell>
        </row>
        <row r="1989">
          <cell r="A1989" t="str">
            <v>0010-03669-01</v>
          </cell>
          <cell r="B1989" t="str">
            <v>Kit, Universal Offline Editing NT w/Meridien2 Hardware</v>
          </cell>
          <cell r="C1989">
            <v>20000</v>
          </cell>
        </row>
        <row r="1990">
          <cell r="A1990" t="str">
            <v>0010-03670-01</v>
          </cell>
          <cell r="B1990" t="str">
            <v>Upg, SFW 1:1 Two Stream Uncompressed from 1:1 One stream</v>
          </cell>
          <cell r="C1990">
            <v>5000</v>
          </cell>
        </row>
        <row r="1991">
          <cell r="A1991" t="str">
            <v>0505-00010-01</v>
          </cell>
          <cell r="B1991" t="str">
            <v>MC 7.2, MC Offline</v>
          </cell>
          <cell r="C1991">
            <v>2000</v>
          </cell>
        </row>
        <row r="1992">
          <cell r="A1992" t="str">
            <v>0505-00011-01</v>
          </cell>
          <cell r="B1992" t="str">
            <v>MC 7.2, Media Station</v>
          </cell>
          <cell r="C1992">
            <v>2000</v>
          </cell>
        </row>
        <row r="1993">
          <cell r="A1993" t="str">
            <v>0505-00009-01</v>
          </cell>
          <cell r="B1993" t="str">
            <v>MC 7.2, Film Composer</v>
          </cell>
          <cell r="C1993">
            <v>3500</v>
          </cell>
        </row>
        <row r="1994">
          <cell r="A1994" t="str">
            <v>0505-00008-01</v>
          </cell>
          <cell r="B1994" t="str">
            <v>MC 7.2, MC 900</v>
          </cell>
          <cell r="C1994">
            <v>2000</v>
          </cell>
        </row>
        <row r="1995">
          <cell r="A1995" t="str">
            <v>0505-00007-01</v>
          </cell>
          <cell r="B1995" t="str">
            <v>MC 7.2, MC 1000</v>
          </cell>
          <cell r="C1995">
            <v>3000</v>
          </cell>
        </row>
        <row r="1996">
          <cell r="A1996" t="str">
            <v>0505-00006-01</v>
          </cell>
          <cell r="B1996" t="str">
            <v>MC 7.2, MC 4000</v>
          </cell>
          <cell r="C1996">
            <v>3750</v>
          </cell>
        </row>
        <row r="1997">
          <cell r="A1997" t="str">
            <v>0505-00005-01</v>
          </cell>
          <cell r="B1997" t="str">
            <v>MC 7.2, MC 8000</v>
          </cell>
          <cell r="C1997">
            <v>4995</v>
          </cell>
        </row>
        <row r="1998">
          <cell r="A1998" t="str">
            <v>0510-00395-01</v>
          </cell>
          <cell r="B1998" t="str">
            <v>UPG, MC Offline to Avid Xpress w/ Deluxe Bundle, Model Only</v>
          </cell>
          <cell r="C1998">
            <v>2500</v>
          </cell>
        </row>
        <row r="1999">
          <cell r="A1999" t="str">
            <v>0510-00397-01</v>
          </cell>
          <cell r="B1999" t="str">
            <v>UPG, MCX/Mac or Avid Xpress to MC Offline, Model Only</v>
          </cell>
          <cell r="C1999">
            <v>17395</v>
          </cell>
        </row>
        <row r="2000">
          <cell r="A2000" t="str">
            <v>0510-00398-01</v>
          </cell>
          <cell r="B2000" t="str">
            <v>UPG, MCX/Mac/Pro or Avid Express Plus to MC Offline, Model Only</v>
          </cell>
          <cell r="C2000">
            <v>12040</v>
          </cell>
        </row>
        <row r="2001">
          <cell r="A2001" t="str">
            <v>0510-00399-01</v>
          </cell>
          <cell r="B2001" t="str">
            <v>UPG, MCX/Mac/RT or Avid Xpress Deluxe to MC Offline, Model Only</v>
          </cell>
          <cell r="C2001">
            <v>3045</v>
          </cell>
        </row>
        <row r="2002">
          <cell r="A2002" t="str">
            <v>0510-00400-01</v>
          </cell>
          <cell r="B2002" t="str">
            <v>UPG, MC 900 to MC Offline, Model Only</v>
          </cell>
          <cell r="C2002">
            <v>2500</v>
          </cell>
        </row>
        <row r="2003">
          <cell r="A2003" t="str">
            <v>0510-00401-01</v>
          </cell>
          <cell r="B2003" t="str">
            <v>UPG, MC 1000, 2D, 4/8CH, to Film Composer, 2D, 4/8CH, Model Only</v>
          </cell>
          <cell r="C2003">
            <v>13680</v>
          </cell>
        </row>
        <row r="2004">
          <cell r="A2004" t="str">
            <v>0510-00403-01</v>
          </cell>
          <cell r="B2004" t="str">
            <v>UPG, MCX/Mac 3D or Avid Xpress Elite, 2CH to MC 1000, 3D, 2CH, Model Only</v>
          </cell>
          <cell r="C2004">
            <v>26000</v>
          </cell>
        </row>
        <row r="2005">
          <cell r="A2005" t="str">
            <v>0510-00417-01</v>
          </cell>
          <cell r="B2005" t="str">
            <v>UPG, MC 1000. 3D, 8CH to MC 9000, 3D, 8CH, Model Only</v>
          </cell>
          <cell r="C2005">
            <v>41515</v>
          </cell>
        </row>
        <row r="2006">
          <cell r="A2006" t="str">
            <v>0510-00418-01</v>
          </cell>
          <cell r="B2006" t="str">
            <v>UPG, MC 4000, 3D, 8CH to MC 9000, 3D, 8CH, Model Only</v>
          </cell>
          <cell r="C2006">
            <v>15995</v>
          </cell>
        </row>
        <row r="2007">
          <cell r="A2007" t="str">
            <v>0510-00419-01</v>
          </cell>
          <cell r="B2007" t="str">
            <v>UPG, MC 8000, 3D, 8CH to MC 9000, 3D, 8CH, Model only</v>
          </cell>
          <cell r="C2007">
            <v>5495</v>
          </cell>
        </row>
        <row r="2008">
          <cell r="A2008" t="str">
            <v>0510-00406-01</v>
          </cell>
          <cell r="B2008" t="str">
            <v>UPG, Media Station to MC Offline, Model Only</v>
          </cell>
          <cell r="C2008">
            <v>8515</v>
          </cell>
        </row>
        <row r="2009">
          <cell r="A2009" t="str">
            <v>0500-03077-02</v>
          </cell>
          <cell r="B2009" t="str">
            <v>PRD, MC 9000 XL NT Demo, Reseller w/Fibre Channel Adapter</v>
          </cell>
        </row>
        <row r="2010">
          <cell r="A2010" t="str">
            <v>0500-03079-01</v>
          </cell>
          <cell r="B2010" t="str">
            <v>PRD, MC 9000 XL NT Demo, Reseller, with LVD Adapter</v>
          </cell>
        </row>
        <row r="2011">
          <cell r="A2011" t="str">
            <v>0500-03050-02</v>
          </cell>
          <cell r="B2011" t="str">
            <v xml:space="preserve">PRD, MC 1000 XL Mac Demo, Reseller, </v>
          </cell>
        </row>
        <row r="2012">
          <cell r="A2012" t="str">
            <v>0500-03054-02</v>
          </cell>
          <cell r="B2012" t="str">
            <v>PRD, Symphony Universal Reseller Demo</v>
          </cell>
        </row>
        <row r="2013">
          <cell r="A2013" t="str">
            <v>0505-03030-01</v>
          </cell>
          <cell r="B2013" t="str">
            <v>Kit, MC 9000 XL NT Demo to MC 9000 XL Conversion</v>
          </cell>
        </row>
        <row r="2014">
          <cell r="A2014" t="str">
            <v>0505-03022-01</v>
          </cell>
          <cell r="B2014" t="str">
            <v>Kit, MC 1000 XL Mac Demo to MC 1000 XL Conversion</v>
          </cell>
        </row>
        <row r="2015">
          <cell r="A2015" t="str">
            <v>0505-03024-01</v>
          </cell>
          <cell r="B2015" t="str">
            <v>Kit, MC 1000 XL NT Demo to MC 1000 XL Conversion</v>
          </cell>
        </row>
        <row r="2016">
          <cell r="A2016" t="str">
            <v>0505-03017-01</v>
          </cell>
          <cell r="B2016" t="str">
            <v>Kit, Symphony 1.X Reseller Demo to Symphony 1.X Conversion</v>
          </cell>
        </row>
        <row r="2017">
          <cell r="A2017" t="str">
            <v>0505-03031-01</v>
          </cell>
          <cell r="B2017" t="str">
            <v>Kit, Symphony Universal Reseller Demo to Symphony 2.X Conversion</v>
          </cell>
        </row>
        <row r="2018">
          <cell r="A2018" t="str">
            <v>0505-03032-01</v>
          </cell>
          <cell r="B2018" t="str">
            <v>Kit, Symphony Universal Reseller Demo to Symphony Universal Conversion</v>
          </cell>
        </row>
        <row r="2019">
          <cell r="A2019" t="str">
            <v>0505-00004-01</v>
          </cell>
          <cell r="B2019" t="str">
            <v>Kit, MC 9000 ABVB Demo to MC 9000 ABVB Conversion</v>
          </cell>
        </row>
        <row r="2020">
          <cell r="A2020" t="str">
            <v>0010-03534-01</v>
          </cell>
          <cell r="B2020" t="str">
            <v>Avid Xpress Plus w/CPU &amp; F/C Controller</v>
          </cell>
          <cell r="C2020">
            <v>14279</v>
          </cell>
        </row>
        <row r="2021">
          <cell r="A2021" t="str">
            <v>0010-03535-01</v>
          </cell>
          <cell r="B2021" t="str">
            <v>Avid Xpress Plus w/CPU &amp; LVD Controller</v>
          </cell>
          <cell r="C2021">
            <v>13999</v>
          </cell>
        </row>
        <row r="2022">
          <cell r="A2022" t="str">
            <v>0010-03569-01</v>
          </cell>
          <cell r="B2022" t="str">
            <v>Avid Xpress Plus no CPU &amp; F/C Controller</v>
          </cell>
          <cell r="C2022">
            <v>8279</v>
          </cell>
        </row>
        <row r="2023">
          <cell r="A2023" t="str">
            <v>0010-03570-01</v>
          </cell>
          <cell r="B2023" t="str">
            <v>Avid Xpress Plus no CPU &amp; LVD Controller</v>
          </cell>
          <cell r="C2023">
            <v>7999</v>
          </cell>
        </row>
        <row r="2024">
          <cell r="A2024" t="str">
            <v>0010-03671-01</v>
          </cell>
          <cell r="B2024" t="str">
            <v>Avid Xpress Plus no CPU &amp; no Controller</v>
          </cell>
          <cell r="C2024">
            <v>6784</v>
          </cell>
        </row>
        <row r="2025">
          <cell r="A2025" t="str">
            <v>0010-03532-01</v>
          </cell>
          <cell r="B2025" t="str">
            <v>Avid Xpress Deluxe w/CPU &amp; F/C Controller</v>
          </cell>
          <cell r="C2025">
            <v>21279</v>
          </cell>
        </row>
        <row r="2026">
          <cell r="A2026" t="str">
            <v>0010-03533-01</v>
          </cell>
          <cell r="B2026" t="str">
            <v>Avid Xpress Deluxe w/CPU &amp; LVD Controller</v>
          </cell>
          <cell r="C2026">
            <v>20999</v>
          </cell>
        </row>
        <row r="2027">
          <cell r="A2027" t="str">
            <v>0010-03567-01</v>
          </cell>
          <cell r="B2027" t="str">
            <v>Avid Xpress Deluxe no CPU &amp; F/C Controller</v>
          </cell>
          <cell r="C2027">
            <v>15279</v>
          </cell>
        </row>
        <row r="2028">
          <cell r="A2028" t="str">
            <v>0010-03568-01</v>
          </cell>
          <cell r="B2028" t="str">
            <v>Avid Xpress Deluxe no CPU &amp; LVD Controller</v>
          </cell>
          <cell r="C2028">
            <v>14999</v>
          </cell>
        </row>
        <row r="2029">
          <cell r="A2029" t="str">
            <v>0010-03672-01</v>
          </cell>
          <cell r="B2029" t="str">
            <v>Avid Xpress Deluxe no CPU &amp; no Controller</v>
          </cell>
          <cell r="C2029">
            <v>13784</v>
          </cell>
        </row>
        <row r="2030">
          <cell r="A2030" t="str">
            <v>0010-03530-01</v>
          </cell>
          <cell r="B2030" t="str">
            <v>Avid Xpress Elite w/CPU &amp; F/C Controller</v>
          </cell>
          <cell r="C2030">
            <v>31279</v>
          </cell>
        </row>
        <row r="2031">
          <cell r="A2031" t="str">
            <v>0010-03531-01</v>
          </cell>
          <cell r="B2031" t="str">
            <v>Avid Xpress Elite w/CPU &amp; LVD Controller</v>
          </cell>
          <cell r="C2031">
            <v>30999</v>
          </cell>
        </row>
        <row r="2032">
          <cell r="A2032" t="str">
            <v>0010-03564-01</v>
          </cell>
          <cell r="B2032" t="str">
            <v>Avid Xpress Elite no CPU &amp; F/C Controller</v>
          </cell>
          <cell r="C2032">
            <v>25279</v>
          </cell>
        </row>
        <row r="2033">
          <cell r="A2033" t="str">
            <v>0010-03566-01</v>
          </cell>
          <cell r="B2033" t="str">
            <v>Avid Xpress Elite no CPU &amp; LVD Controller</v>
          </cell>
          <cell r="C2033">
            <v>24999</v>
          </cell>
        </row>
        <row r="2034">
          <cell r="A2034" t="str">
            <v>0010-03673-01</v>
          </cell>
          <cell r="B2034" t="str">
            <v>Avid Xpress Elite no CPU &amp; no Controller</v>
          </cell>
          <cell r="C2034">
            <v>23784</v>
          </cell>
        </row>
        <row r="2035">
          <cell r="A2035" t="str">
            <v>0010-03801-01</v>
          </cell>
          <cell r="B2035" t="str">
            <v>Kit, Analog Video and SDI and 2 Channel Audio</v>
          </cell>
          <cell r="C2035">
            <v>7000</v>
          </cell>
        </row>
        <row r="2036">
          <cell r="A2036" t="str">
            <v>0010-03802-01</v>
          </cell>
          <cell r="B2036" t="str">
            <v>Kit, Analog Video and 2 Channel Audio</v>
          </cell>
          <cell r="C2036">
            <v>5000</v>
          </cell>
        </row>
        <row r="2037">
          <cell r="A2037" t="str">
            <v>0010-03708-01</v>
          </cell>
          <cell r="B2037" t="str">
            <v>Kit, Analog Video and SDI and 8 Channel Audio</v>
          </cell>
          <cell r="C2037">
            <v>13000</v>
          </cell>
        </row>
        <row r="2038">
          <cell r="A2038" t="str">
            <v>0010-03710-01</v>
          </cell>
          <cell r="B2038" t="str">
            <v>Kit, Analog Video and 8 Channel Audio</v>
          </cell>
          <cell r="C2038">
            <v>11000</v>
          </cell>
        </row>
        <row r="2039">
          <cell r="A2039" t="str">
            <v>0010-00995-01</v>
          </cell>
          <cell r="B2039" t="str">
            <v>Kit, Single VGA Monitor Plus Cable</v>
          </cell>
          <cell r="C2039">
            <v>2300</v>
          </cell>
        </row>
        <row r="2040">
          <cell r="A2040" t="str">
            <v>0540-03110-01</v>
          </cell>
          <cell r="B2040" t="str">
            <v>MNT, Assurance Xpress Plus NT Meridien</v>
          </cell>
          <cell r="C2040">
            <v>1695</v>
          </cell>
        </row>
        <row r="2041">
          <cell r="A2041" t="str">
            <v>0540-03111-01</v>
          </cell>
          <cell r="B2041" t="str">
            <v>MNT, Assurance Xpress Plus NT Meridien 7*24</v>
          </cell>
          <cell r="C2041">
            <v>2394</v>
          </cell>
        </row>
        <row r="2042">
          <cell r="A2042" t="str">
            <v>0540-03112-01</v>
          </cell>
          <cell r="B2042" t="str">
            <v>MNT, Assurance Xpress Del NT Meridien</v>
          </cell>
          <cell r="C2042">
            <v>1695</v>
          </cell>
        </row>
        <row r="2043">
          <cell r="A2043" t="str">
            <v>0540-03113-01</v>
          </cell>
          <cell r="B2043" t="str">
            <v>MNT, Assurance Xpress Del NT Meridien 7*24</v>
          </cell>
          <cell r="C2043">
            <v>2394</v>
          </cell>
        </row>
        <row r="2044">
          <cell r="A2044" t="str">
            <v>0540-03114-01</v>
          </cell>
          <cell r="B2044" t="str">
            <v>MNT, Assurance Xpress Elite NT Meridien</v>
          </cell>
          <cell r="C2044">
            <v>1695</v>
          </cell>
        </row>
        <row r="2045">
          <cell r="A2045" t="str">
            <v>0540-03115-01</v>
          </cell>
          <cell r="B2045" t="str">
            <v>MNT, Assurance Xpress Elite NT Meridien 7*24</v>
          </cell>
          <cell r="C2045">
            <v>2394</v>
          </cell>
        </row>
        <row r="2046">
          <cell r="A2046" t="str">
            <v>0510-03022-01</v>
          </cell>
          <cell r="B2046" t="str">
            <v>Upg, Avid Xpress Plus to Avid Xpress Deluxe</v>
          </cell>
          <cell r="C2046">
            <v>7000</v>
          </cell>
        </row>
        <row r="2047">
          <cell r="A2047" t="str">
            <v>0510-03023-01</v>
          </cell>
          <cell r="B2047" t="str">
            <v>Upg, Avid Xpress Plus to Avid Xpress Elite</v>
          </cell>
          <cell r="C2047">
            <v>17000</v>
          </cell>
        </row>
        <row r="2048">
          <cell r="A2048" t="str">
            <v>0510-03024-01</v>
          </cell>
          <cell r="B2048" t="str">
            <v>Upg, Avid Xpress Deluxe to Avid Xpress Elite</v>
          </cell>
          <cell r="C2048">
            <v>10000</v>
          </cell>
        </row>
        <row r="2049">
          <cell r="A2049" t="str">
            <v>0510-03177-01</v>
          </cell>
          <cell r="B2049" t="str">
            <v>Upg, Xpress NT Plus 2.1 to 3.X</v>
          </cell>
          <cell r="C2049">
            <v>1250</v>
          </cell>
        </row>
        <row r="2050">
          <cell r="A2050" t="str">
            <v>0510-03178-01</v>
          </cell>
          <cell r="B2050" t="str">
            <v>Upg, Xpress NT Deluxe 2.1 to 3.X</v>
          </cell>
          <cell r="C2050">
            <v>2500</v>
          </cell>
        </row>
        <row r="2051">
          <cell r="A2051" t="str">
            <v>0510-03179-01</v>
          </cell>
          <cell r="B2051" t="str">
            <v>Upg, Xpress NT Elite 2.1 to 3.X</v>
          </cell>
          <cell r="C2051">
            <v>3500</v>
          </cell>
        </row>
        <row r="2052">
          <cell r="A2052" t="str">
            <v>0010-03427-01</v>
          </cell>
          <cell r="B2052" t="str">
            <v>Upg, SDI Video Option for Xpress</v>
          </cell>
          <cell r="C2052">
            <v>2000</v>
          </cell>
        </row>
        <row r="2053">
          <cell r="A2053" t="str">
            <v>0510-03208-01</v>
          </cell>
          <cell r="B2053" t="str">
            <v>Upg, 2 Channel to 8 Channel Audio Xpress NT</v>
          </cell>
          <cell r="C2053">
            <v>6500</v>
          </cell>
        </row>
        <row r="2054">
          <cell r="A2054" t="str">
            <v>0560-03180-01</v>
          </cell>
          <cell r="B2054" t="str">
            <v>Xpress NT Meridien from Plus to Plus Price Redux</v>
          </cell>
          <cell r="C2054" t="str">
            <v>(-$2999)</v>
          </cell>
        </row>
        <row r="2055">
          <cell r="A2055" t="str">
            <v>0560-03181-01</v>
          </cell>
          <cell r="B2055" t="str">
            <v>Xpress NT Meridien from Base to Plus Price Redux</v>
          </cell>
          <cell r="C2055" t="str">
            <v>(-$1499)</v>
          </cell>
        </row>
        <row r="2056">
          <cell r="A2056" t="str">
            <v>0560-03182-01</v>
          </cell>
          <cell r="B2056" t="str">
            <v>Xpress NT Meridien from Deluxe to Deluxe Price Redux</v>
          </cell>
          <cell r="C2056" t="str">
            <v>(-$7999)</v>
          </cell>
        </row>
        <row r="2057">
          <cell r="A2057" t="str">
            <v>0560-03183-01</v>
          </cell>
          <cell r="B2057" t="str">
            <v>Xpress NT Meridien from Plus to Deluxe Price Redux</v>
          </cell>
          <cell r="C2057" t="str">
            <v>(-$5999)</v>
          </cell>
        </row>
        <row r="2058">
          <cell r="A2058" t="str">
            <v>0560-03184-01</v>
          </cell>
          <cell r="B2058" t="str">
            <v>Xpress NT Meridien from Elite to Elite Price Redux</v>
          </cell>
          <cell r="C2058" t="str">
            <v>(-$11999)</v>
          </cell>
        </row>
        <row r="2059">
          <cell r="A2059" t="str">
            <v>0560-03185-01</v>
          </cell>
          <cell r="B2059" t="str">
            <v>Xpress NT Meridien from Deluxe to Elite Price Redux</v>
          </cell>
          <cell r="C2059" t="str">
            <v>(-$11999)</v>
          </cell>
        </row>
        <row r="2060">
          <cell r="A2060" t="str">
            <v>0010-03789-01</v>
          </cell>
          <cell r="B2060" t="str">
            <v>Kit, Xpress Plus Mac System w/CPU &amp; F/C Adapter</v>
          </cell>
          <cell r="C2060">
            <v>15274</v>
          </cell>
        </row>
        <row r="2061">
          <cell r="A2061" t="str">
            <v>0010-03790-01</v>
          </cell>
          <cell r="B2061" t="str">
            <v>Kit, Xpress Plus Mac System w/CPU &amp; Dual LVD Adapter</v>
          </cell>
          <cell r="C2061">
            <v>14994</v>
          </cell>
        </row>
        <row r="2062">
          <cell r="A2062" t="str">
            <v>0010-03791-01</v>
          </cell>
          <cell r="B2062" t="str">
            <v>Kit, Xpress Plus Mac System no CPU &amp; F/C Adapter</v>
          </cell>
          <cell r="C2062">
            <v>8279</v>
          </cell>
        </row>
        <row r="2063">
          <cell r="A2063" t="str">
            <v>0010-03792-01</v>
          </cell>
          <cell r="B2063" t="str">
            <v>Kit, Xpress Plus Mac System no CPU &amp; Dual LVD Adapter</v>
          </cell>
          <cell r="C2063">
            <v>7999</v>
          </cell>
        </row>
        <row r="2064">
          <cell r="A2064" t="str">
            <v>0010-03793-01</v>
          </cell>
          <cell r="B2064" t="str">
            <v>Kit, Xpress Deluxe Mac System w/CPU &amp; F/C Adapter</v>
          </cell>
          <cell r="C2064">
            <v>22274</v>
          </cell>
        </row>
        <row r="2065">
          <cell r="A2065" t="str">
            <v>0010-03794-01</v>
          </cell>
          <cell r="B2065" t="str">
            <v>Kit, Xpress Deluxe Mac System w/CPU &amp; Dual LVD Adapter</v>
          </cell>
          <cell r="C2065">
            <v>21994</v>
          </cell>
        </row>
        <row r="2066">
          <cell r="A2066" t="str">
            <v>0010-03795-01</v>
          </cell>
          <cell r="B2066" t="str">
            <v>Kit, Xpress Deluxe Mac System no CPU &amp; F/C Adapter</v>
          </cell>
          <cell r="C2066">
            <v>15279</v>
          </cell>
        </row>
        <row r="2067">
          <cell r="A2067" t="str">
            <v>0010-03796-01</v>
          </cell>
          <cell r="B2067" t="str">
            <v>Kit, Xpress Deluxe Mac System no CPU &amp; Dual LVD Adapter</v>
          </cell>
          <cell r="C2067">
            <v>14999</v>
          </cell>
        </row>
        <row r="2068">
          <cell r="A2068" t="str">
            <v>0010-03797-01</v>
          </cell>
          <cell r="B2068" t="str">
            <v>Kit, Xpress Elite Mac System w/CPU &amp; F/C Adapter</v>
          </cell>
          <cell r="C2068">
            <v>32274</v>
          </cell>
        </row>
        <row r="2069">
          <cell r="A2069" t="str">
            <v>0010-03798-01</v>
          </cell>
          <cell r="B2069" t="str">
            <v>Kit, Xpress Elite Mac System w/CPU &amp; Dual LVD Adapter</v>
          </cell>
          <cell r="C2069">
            <v>31994</v>
          </cell>
        </row>
        <row r="2070">
          <cell r="A2070" t="str">
            <v>0010-03798-01</v>
          </cell>
          <cell r="B2070" t="str">
            <v>Kit, Xpress Elite Mac System no CPU &amp; F/C Adapter</v>
          </cell>
          <cell r="C2070">
            <v>25279</v>
          </cell>
        </row>
        <row r="2071">
          <cell r="A2071" t="str">
            <v>0010-03799-01</v>
          </cell>
          <cell r="B2071" t="str">
            <v>Kit, Xpress Elite Mac System no CPU &amp; Dual LVD Adapter</v>
          </cell>
          <cell r="C2071">
            <v>24999</v>
          </cell>
        </row>
        <row r="2072">
          <cell r="A2072" t="str">
            <v>0010-03801-01</v>
          </cell>
          <cell r="B2072" t="str">
            <v>Meridien Breakout Box 2ch w/Analog and SDI</v>
          </cell>
          <cell r="C2072">
            <v>7000</v>
          </cell>
        </row>
        <row r="2073">
          <cell r="A2073" t="str">
            <v>0010-03802-01</v>
          </cell>
          <cell r="B2073" t="str">
            <v>Meridien Breakout Box 2ch w/Analog w/o SDI</v>
          </cell>
          <cell r="C2073">
            <v>5000</v>
          </cell>
        </row>
        <row r="2074">
          <cell r="A2074" t="str">
            <v>0505-00002-01</v>
          </cell>
          <cell r="B2074" t="str">
            <v>Elastic Reality 3.1 for MAC</v>
          </cell>
          <cell r="C2074">
            <v>1299</v>
          </cell>
        </row>
        <row r="2075">
          <cell r="A2075" t="str">
            <v>0505-00002-03</v>
          </cell>
          <cell r="B2075" t="str">
            <v>Elastic Reality 3.1 for MAC, Edit Bundle</v>
          </cell>
          <cell r="C2075">
            <v>999</v>
          </cell>
        </row>
        <row r="2076">
          <cell r="A2076" t="str">
            <v>0510-00413-01</v>
          </cell>
          <cell r="B2076" t="str">
            <v>Elastic Reality 3.1 for MAC, Upgrade (from 1.X to 3.1)</v>
          </cell>
          <cell r="C2076">
            <v>699</v>
          </cell>
        </row>
        <row r="2077">
          <cell r="A2077" t="str">
            <v>0010-03729-01</v>
          </cell>
          <cell r="B2077" t="str">
            <v>Doc, Avid Xpress MAC 2.5 Documentation</v>
          </cell>
          <cell r="C2077">
            <v>127</v>
          </cell>
        </row>
        <row r="2078">
          <cell r="A2078" t="str">
            <v>0010-03730-01</v>
          </cell>
          <cell r="B2078" t="str">
            <v>Kit, Avid Xpress Mac 2.5 Tutorial</v>
          </cell>
          <cell r="C2078">
            <v>43</v>
          </cell>
        </row>
        <row r="2079">
          <cell r="A2079" t="str">
            <v>0510-03181-01</v>
          </cell>
          <cell r="B2079" t="str">
            <v>Upg, Avid Xpress Plus to Avid Xpress Deluxe*</v>
          </cell>
          <cell r="C2079">
            <v>7000</v>
          </cell>
        </row>
        <row r="2080">
          <cell r="A2080" t="str">
            <v>0510-03182-01</v>
          </cell>
          <cell r="B2080" t="str">
            <v>Upg, Avid Xpress Plus to Avid Xpress Elite*</v>
          </cell>
          <cell r="C2080">
            <v>17000</v>
          </cell>
        </row>
        <row r="2081">
          <cell r="A2081" t="str">
            <v>0510-03183-01</v>
          </cell>
          <cell r="B2081" t="str">
            <v>Upg, Avid Xpress Deluxe to Avid Xpress Elite*</v>
          </cell>
          <cell r="C2081">
            <v>10000</v>
          </cell>
        </row>
        <row r="2082">
          <cell r="A2082" t="str">
            <v>0560-03174-01</v>
          </cell>
          <cell r="B2082" t="str">
            <v>Xpress ABVB Plus to MAC Meridien Plus Price Redux</v>
          </cell>
          <cell r="C2082" t="str">
            <v>(-$2999)</v>
          </cell>
        </row>
        <row r="2083">
          <cell r="A2083" t="str">
            <v>0560-03175-01</v>
          </cell>
          <cell r="B2083" t="str">
            <v>Xpress ABVB Base to MAC Meridien Plus Price Redux</v>
          </cell>
          <cell r="C2083" t="str">
            <v>(-$1499)</v>
          </cell>
        </row>
        <row r="2084">
          <cell r="A2084" t="str">
            <v>0560-03176-01</v>
          </cell>
          <cell r="B2084" t="str">
            <v>Xpress ABVB Deluxe to MAC Meridien Deluxe Price Redux</v>
          </cell>
          <cell r="C2084" t="str">
            <v>(-$7999)</v>
          </cell>
        </row>
        <row r="2085">
          <cell r="A2085" t="str">
            <v>0560-03177-01</v>
          </cell>
          <cell r="B2085" t="str">
            <v>Xpress ABVB Plus to MAC Meridien Deluxe Price Redux</v>
          </cell>
          <cell r="C2085" t="str">
            <v>(-$5999)</v>
          </cell>
        </row>
        <row r="2086">
          <cell r="A2086" t="str">
            <v>0560-03178-01</v>
          </cell>
          <cell r="B2086" t="str">
            <v>Xpress ABVB Elite to MAC Meridien Elite Price Redux</v>
          </cell>
          <cell r="C2086" t="str">
            <v>(-$11999)</v>
          </cell>
        </row>
        <row r="2087">
          <cell r="A2087" t="str">
            <v>0560-03179-01</v>
          </cell>
          <cell r="B2087" t="str">
            <v>Xpress ABVB Deluxe to MAC Meridien Elite Price Redux</v>
          </cell>
          <cell r="C2087" t="str">
            <v>(-$11999)</v>
          </cell>
        </row>
        <row r="2088">
          <cell r="A2088" t="str">
            <v>0500-03080-02</v>
          </cell>
          <cell r="B2088" t="str">
            <v>Kit, Avid Xpress Reseller Demo System</v>
          </cell>
        </row>
        <row r="2089">
          <cell r="A2089" t="str">
            <v>0500-03015-01</v>
          </cell>
          <cell r="B2089" t="str">
            <v xml:space="preserve">System Identifier, SOFTIMAGE|DS </v>
          </cell>
          <cell r="C2089">
            <v>0</v>
          </cell>
        </row>
        <row r="2090">
          <cell r="A2090" t="str">
            <v>0012-03041-01</v>
          </cell>
          <cell r="B2090" t="str">
            <v>SOFTIMAGE|DS s/w NTSC, end-user</v>
          </cell>
          <cell r="C2090">
            <v>80000</v>
          </cell>
        </row>
        <row r="2091">
          <cell r="A2091" t="str">
            <v>0012-03044-01</v>
          </cell>
          <cell r="B2091" t="str">
            <v>SOFTIMAGE|DS s/w NTSC, auth. training center</v>
          </cell>
          <cell r="C2091">
            <v>6500</v>
          </cell>
        </row>
        <row r="2092">
          <cell r="A2092" t="str">
            <v>0012-03043-01</v>
          </cell>
          <cell r="B2092" t="str">
            <v>SOFTIMAGE|DS s/w NTSC Japan end-user</v>
          </cell>
          <cell r="C2092">
            <v>80000</v>
          </cell>
        </row>
        <row r="2093">
          <cell r="A2093" t="str">
            <v>0012-03046-01</v>
          </cell>
          <cell r="B2093" t="str">
            <v>SOFTIMAGE|DS s/w NTSC Japan auth. trng. ctr.</v>
          </cell>
          <cell r="C2093">
            <v>6500</v>
          </cell>
        </row>
        <row r="2094">
          <cell r="A2094" t="str">
            <v>0012-03042-01</v>
          </cell>
          <cell r="B2094" t="str">
            <v>SOFTIMAGE|DS s/w PAL, end-user</v>
          </cell>
          <cell r="C2094">
            <v>80000</v>
          </cell>
        </row>
        <row r="2095">
          <cell r="A2095" t="str">
            <v>0012-03045-01</v>
          </cell>
          <cell r="B2095" t="str">
            <v>SOFTIMAGE|DS s/w PAL, auth. training center</v>
          </cell>
          <cell r="C2095">
            <v>6500</v>
          </cell>
        </row>
        <row r="2096">
          <cell r="A2096" t="str">
            <v>0010-03264-01</v>
          </cell>
          <cell r="B2096" t="str">
            <v>SI|DS Turnkey, NTSC, English, Deskside, 500MHz, Dual Monitor, 72GB</v>
          </cell>
          <cell r="C2096">
            <v>130000</v>
          </cell>
        </row>
        <row r="2097">
          <cell r="A2097" t="str">
            <v>0010-03266-01</v>
          </cell>
          <cell r="B2097" t="str">
            <v>SI|DS Turnkey, PAL, English, Deskside, 500MHz, Dual Monitor, 72GB</v>
          </cell>
          <cell r="C2097">
            <v>130000</v>
          </cell>
        </row>
        <row r="2098">
          <cell r="A2098" t="str">
            <v>0010-03268-01</v>
          </cell>
          <cell r="B2098" t="str">
            <v>SI|DS Turnkey, NTSC, Japanese, Deskside, 500MHz, Dual Monitor, 72GB</v>
          </cell>
          <cell r="C2098">
            <v>138500</v>
          </cell>
        </row>
        <row r="2099">
          <cell r="A2099" t="str">
            <v>0010-03270-01</v>
          </cell>
          <cell r="B2099" t="str">
            <v>SI|DS Turnkey, NTSC, English, Deskside, 500MHz, Dual Monitor, 144GB</v>
          </cell>
          <cell r="C2099">
            <v>137500</v>
          </cell>
        </row>
        <row r="2100">
          <cell r="A2100" t="str">
            <v>0010-03272-01</v>
          </cell>
          <cell r="B2100" t="str">
            <v>SI|DS Turnkey, PAL, English, Deskside, 500MHz, Dual Monitor, 144GB</v>
          </cell>
          <cell r="C2100">
            <v>137500</v>
          </cell>
        </row>
        <row r="2101">
          <cell r="A2101" t="str">
            <v>0010-03274-01</v>
          </cell>
          <cell r="B2101" t="str">
            <v>SI|DS Turnkey, NTSC, Japanese, Deskside, 500MHz, Dual Monitor, 144GB</v>
          </cell>
          <cell r="C2101">
            <v>146000</v>
          </cell>
        </row>
        <row r="2102">
          <cell r="A2102" t="str">
            <v>0010-03545-01</v>
          </cell>
          <cell r="B2102" t="str">
            <v xml:space="preserve">SI|DS Turnkey, NTSC, English, Deskside, Dual Monitor, 180GB </v>
          </cell>
          <cell r="C2102">
            <v>130000</v>
          </cell>
        </row>
        <row r="2103">
          <cell r="A2103" t="str">
            <v>0010-03547-01</v>
          </cell>
          <cell r="B2103" t="str">
            <v xml:space="preserve">SI|DS Turnkey, PAL, English, Deskside, Dual Monitor, 180GB </v>
          </cell>
          <cell r="C2103">
            <v>130000</v>
          </cell>
        </row>
        <row r="2104">
          <cell r="A2104" t="str">
            <v>0010-03549-01</v>
          </cell>
          <cell r="B2104" t="str">
            <v xml:space="preserve">SI|DS Turnkey, NTSC, Japanese, Deskside, Dual Monitor, 180GB </v>
          </cell>
          <cell r="C2104">
            <v>138500</v>
          </cell>
        </row>
        <row r="2105">
          <cell r="A2105" t="str">
            <v>0010-03288-01</v>
          </cell>
          <cell r="B2105" t="str">
            <v>SI|DS Turnkey, NTSC, English, Rackmount, 500MHz, Dual Monitor, 72GB</v>
          </cell>
          <cell r="C2105">
            <v>130000</v>
          </cell>
        </row>
        <row r="2106">
          <cell r="A2106" t="str">
            <v>0010-03290-01</v>
          </cell>
          <cell r="B2106" t="str">
            <v>SI|DS Turnkey, PAL, English, Rackmount, 500MHz, Dual Monitor, 72GB</v>
          </cell>
          <cell r="C2106">
            <v>130000</v>
          </cell>
        </row>
        <row r="2107">
          <cell r="A2107" t="str">
            <v>0010-03292-01</v>
          </cell>
          <cell r="B2107" t="str">
            <v>SI|DS Turnkey, NTSC, Japanese, Rackmount, 500MHz, Dual Monitor, 72GB</v>
          </cell>
          <cell r="C2107">
            <v>138500</v>
          </cell>
        </row>
        <row r="2108">
          <cell r="A2108" t="str">
            <v>0010-03294-01</v>
          </cell>
          <cell r="B2108" t="str">
            <v>SI|DS Turnkey, NTSC, English, Rackmount, 500MHz, Dual Monitor, 144GB</v>
          </cell>
          <cell r="C2108">
            <v>137500</v>
          </cell>
        </row>
        <row r="2109">
          <cell r="A2109" t="str">
            <v>0010-03296-01</v>
          </cell>
          <cell r="B2109" t="str">
            <v>SI|DS Turnkey, PAL, English, Rackmount, 500MHz, Dual Monitor, 144GB</v>
          </cell>
          <cell r="C2109">
            <v>137500</v>
          </cell>
        </row>
        <row r="2110">
          <cell r="A2110" t="str">
            <v>0010-03298-01</v>
          </cell>
          <cell r="B2110" t="str">
            <v>SI|DS Turnkey, NTSC, Japanese, Rackmount, 500MHz, Dual Monitor, 144GB</v>
          </cell>
          <cell r="C2110">
            <v>146000</v>
          </cell>
        </row>
        <row r="2111">
          <cell r="A2111" t="str">
            <v>0010-03551-01</v>
          </cell>
          <cell r="B2111" t="str">
            <v xml:space="preserve">SI|DS Turnkey, NTSC, English, Rackmount, Dual Monitor, 180GB </v>
          </cell>
          <cell r="C2111">
            <v>130000</v>
          </cell>
        </row>
        <row r="2112">
          <cell r="A2112" t="str">
            <v>0010-03553-01</v>
          </cell>
          <cell r="B2112" t="str">
            <v xml:space="preserve">SI|DS Turnkey, PAL, English, Rackmount, Dual Monitor, 180GB </v>
          </cell>
          <cell r="C2112">
            <v>130000</v>
          </cell>
        </row>
        <row r="2113">
          <cell r="A2113" t="str">
            <v>0010-03555-01</v>
          </cell>
          <cell r="B2113" t="str">
            <v xml:space="preserve">SI|DS Turnkey, NTSC, Japanese, Rackmount, Dual Monitor, 180GB </v>
          </cell>
          <cell r="C2113">
            <v>138500</v>
          </cell>
        </row>
        <row r="2114">
          <cell r="A2114" t="str">
            <v>0012-03047-01</v>
          </cell>
          <cell r="B2114" t="str">
            <v>SOFTIMAGE|DS Software Developers Kit</v>
          </cell>
          <cell r="C2114">
            <v>5000</v>
          </cell>
        </row>
        <row r="2115">
          <cell r="A2115" t="str">
            <v>0012-03048-01</v>
          </cell>
          <cell r="B2115" t="str">
            <v>SOFTIMAGE|DS SDK, Authorized Educator</v>
          </cell>
          <cell r="C2115">
            <v>5000</v>
          </cell>
        </row>
        <row r="2116">
          <cell r="A2116" t="str">
            <v>0540-03003-01</v>
          </cell>
          <cell r="B2116" t="str">
            <v>One Year Avid Assurance, SOFTIMAGE|DS</v>
          </cell>
          <cell r="C2116">
            <v>5500</v>
          </cell>
        </row>
        <row r="2117">
          <cell r="A2117" t="str">
            <v>0130-01489-02</v>
          </cell>
          <cell r="B2117" t="str">
            <v>SOFTIMAGE|DS Doc. Kit - English</v>
          </cell>
          <cell r="C2117">
            <v>600</v>
          </cell>
        </row>
        <row r="2118">
          <cell r="A2118" t="str">
            <v>0130-01490-01</v>
          </cell>
          <cell r="B2118" t="str">
            <v>SOFTIMAGE|DS Doc. Kit - Japan</v>
          </cell>
          <cell r="C2118">
            <v>600</v>
          </cell>
        </row>
        <row r="2119">
          <cell r="A2119" t="str">
            <v>0130-01491-01</v>
          </cell>
          <cell r="B2119" t="str">
            <v>SOFTIMAGE|DS Tutorial - English</v>
          </cell>
          <cell r="C2119">
            <v>168</v>
          </cell>
        </row>
        <row r="2120">
          <cell r="A2120" t="str">
            <v>0500-03028-01</v>
          </cell>
          <cell r="B2120" t="str">
            <v>System Identifier, SOFTIMAGE|DS Turnkey Demo</v>
          </cell>
          <cell r="C2120" t="str">
            <v>x</v>
          </cell>
        </row>
        <row r="2121">
          <cell r="A2121" t="str">
            <v>0500-03015-04</v>
          </cell>
          <cell r="B2121" t="str">
            <v>System Identifier, SOFTIMAGE|DS Reseller Sale of Demo Unit</v>
          </cell>
          <cell r="C2121" t="str">
            <v>x</v>
          </cell>
        </row>
        <row r="2122">
          <cell r="A2122" t="str">
            <v>0010-03312-01</v>
          </cell>
          <cell r="B2122" t="str">
            <v>SI|DS Demo, NTSC, English, Deskside, 500MHz, Dual Monitor, 72GB</v>
          </cell>
          <cell r="C2122" t="str">
            <v>x</v>
          </cell>
        </row>
        <row r="2123">
          <cell r="A2123" t="str">
            <v>0010-03314-01</v>
          </cell>
          <cell r="B2123" t="str">
            <v>SI|DS Demo, PAL, English, Deskside, 500MHz, Dual Monitor, 72GB</v>
          </cell>
          <cell r="C2123" t="str">
            <v>x</v>
          </cell>
        </row>
        <row r="2124">
          <cell r="A2124" t="str">
            <v>0010-03316-01</v>
          </cell>
          <cell r="B2124" t="str">
            <v>SI|DS Demo, NTSC, Japanese, Deskside, 500MHz, Dual Monitor, 72GB</v>
          </cell>
          <cell r="C2124" t="str">
            <v>x</v>
          </cell>
        </row>
        <row r="2125">
          <cell r="A2125" t="str">
            <v>0010-03318-01</v>
          </cell>
          <cell r="B2125" t="str">
            <v>SI|DS Demo, NTSC, English, Deskside, 500MHz, Dual Monitor, 144GB</v>
          </cell>
          <cell r="C2125" t="str">
            <v>x</v>
          </cell>
        </row>
        <row r="2126">
          <cell r="A2126" t="str">
            <v>0010-03320-01</v>
          </cell>
          <cell r="B2126" t="str">
            <v>SI|DS Demo, PAL, English, Deskside, 500MHz, Dual Monitor, 144GB</v>
          </cell>
          <cell r="C2126" t="str">
            <v>x</v>
          </cell>
        </row>
        <row r="2127">
          <cell r="A2127" t="str">
            <v>0010-03322-01</v>
          </cell>
          <cell r="B2127" t="str">
            <v>SI|DS Demo, NTSC, Japanese, Deskside, 500MHz, Dual Monitor, 144GB</v>
          </cell>
          <cell r="C2127" t="str">
            <v>x</v>
          </cell>
        </row>
        <row r="2128">
          <cell r="A2128" t="str">
            <v>0010-03545-02</v>
          </cell>
          <cell r="B2128" t="str">
            <v xml:space="preserve">SI|DS Turnkey, NTSC, English, Deskside, Dual Monitor, 180GB </v>
          </cell>
          <cell r="C2128" t="str">
            <v>x</v>
          </cell>
        </row>
        <row r="2129">
          <cell r="A2129" t="str">
            <v>0010-03547-02</v>
          </cell>
          <cell r="B2129" t="str">
            <v xml:space="preserve">SI|DS Turnkey, PAL, English, Deskside, Dual Monitor, 180GB </v>
          </cell>
          <cell r="C2129" t="str">
            <v>x</v>
          </cell>
        </row>
        <row r="2130">
          <cell r="A2130" t="str">
            <v>0010-03549-02</v>
          </cell>
          <cell r="B2130" t="str">
            <v xml:space="preserve">SI|DS Turnkey, NTSC, Japanese, Deskside, Dual Monitor, 180GB </v>
          </cell>
          <cell r="C2130" t="str">
            <v>x</v>
          </cell>
        </row>
        <row r="2131">
          <cell r="A2131" t="str">
            <v>0010-03336-01</v>
          </cell>
          <cell r="B2131" t="str">
            <v>SI|DS Demo, NTSC, English, Rackmount, 500MHz, Dual Monitor, 72GB</v>
          </cell>
          <cell r="C2131" t="str">
            <v>x</v>
          </cell>
        </row>
        <row r="2132">
          <cell r="A2132" t="str">
            <v>0010-03338-01</v>
          </cell>
          <cell r="B2132" t="str">
            <v>SI|DS Demo, PAL, English, Rackmount, 500MHz, Dual Monitor, 72GB</v>
          </cell>
          <cell r="C2132" t="str">
            <v>x</v>
          </cell>
        </row>
        <row r="2133">
          <cell r="A2133" t="str">
            <v>0010-03340-01</v>
          </cell>
          <cell r="B2133" t="str">
            <v>SI|DS Demo, NTSC, Japanese, Rackmount, 500MHz, Dual Monitor, 72GB</v>
          </cell>
          <cell r="C2133" t="str">
            <v>x</v>
          </cell>
        </row>
        <row r="2134">
          <cell r="A2134" t="str">
            <v>0010-03342-01</v>
          </cell>
          <cell r="B2134" t="str">
            <v>SI|DS Demo, NTSC, English, Rackmount, 500MHz, Dual Monitor, 144GB</v>
          </cell>
          <cell r="C2134" t="str">
            <v>x</v>
          </cell>
        </row>
        <row r="2135">
          <cell r="A2135" t="str">
            <v>0010-03344-01</v>
          </cell>
          <cell r="B2135" t="str">
            <v>SI|DS Demo, PAL, English, Rackmount, 500MHz, Dual Monitor, 144GB</v>
          </cell>
          <cell r="C2135" t="str">
            <v>x</v>
          </cell>
        </row>
        <row r="2136">
          <cell r="A2136" t="str">
            <v>0010-03346-01</v>
          </cell>
          <cell r="B2136" t="str">
            <v>SI|DS Demo, NTSC, Japanese, Rackmount, 500MHz, Dual Monitor, 144GB</v>
          </cell>
          <cell r="C2136" t="str">
            <v>x</v>
          </cell>
        </row>
        <row r="2137">
          <cell r="A2137" t="str">
            <v>0010-03551-02</v>
          </cell>
          <cell r="B2137" t="str">
            <v xml:space="preserve">SI|DS Turnkey, NTSC, English, Rackmount, Dual Monitor, 180GB </v>
          </cell>
          <cell r="C2137" t="str">
            <v>x</v>
          </cell>
        </row>
        <row r="2138">
          <cell r="A2138" t="str">
            <v>0010-03553-02</v>
          </cell>
          <cell r="B2138" t="str">
            <v xml:space="preserve">SI|DS Turnkey, PAL, English, Rackmount, Dual Monitor, 180GB </v>
          </cell>
          <cell r="C2138" t="str">
            <v>x</v>
          </cell>
        </row>
        <row r="2139">
          <cell r="A2139" t="str">
            <v>0010-03555-02</v>
          </cell>
          <cell r="B2139" t="str">
            <v xml:space="preserve">SI|DS Turnkey, NTSC, Japanese, Rackmount, Dual Monitor, 180GB </v>
          </cell>
          <cell r="C2139" t="str">
            <v>x</v>
          </cell>
        </row>
        <row r="2140">
          <cell r="A2140" t="str">
            <v>0012-03024-01</v>
          </cell>
          <cell r="B2140" t="str">
            <v xml:space="preserve">Mental Ray for IRIX </v>
          </cell>
          <cell r="C2140">
            <v>2495</v>
          </cell>
        </row>
        <row r="2141">
          <cell r="A2141" t="str">
            <v>0540-03007-01</v>
          </cell>
          <cell r="B2141" t="str">
            <v>Mnt, Mental Ray IRIX</v>
          </cell>
          <cell r="C2141">
            <v>495</v>
          </cell>
        </row>
        <row r="2142">
          <cell r="A2142" t="str">
            <v>0012-03025-01</v>
          </cell>
          <cell r="B2142" t="str">
            <v xml:space="preserve">Mental Ray for NT </v>
          </cell>
          <cell r="C2142">
            <v>2495</v>
          </cell>
        </row>
        <row r="2143">
          <cell r="A2143" t="str">
            <v>0540-03009-01</v>
          </cell>
          <cell r="B2143" t="str">
            <v>Mnt, Mental Ray NT</v>
          </cell>
          <cell r="C2143">
            <v>495</v>
          </cell>
        </row>
        <row r="2144">
          <cell r="A2144" t="str">
            <v>0012-03023-01</v>
          </cell>
          <cell r="B2144" t="str">
            <v>Mental Ray for UNIX</v>
          </cell>
          <cell r="C2144">
            <v>2495</v>
          </cell>
        </row>
        <row r="2145">
          <cell r="A2145" t="str">
            <v>0540-03005-01</v>
          </cell>
          <cell r="B2145" t="str">
            <v>Mnt, Mental Ray UNIX</v>
          </cell>
          <cell r="C2145">
            <v>495</v>
          </cell>
        </row>
        <row r="2146">
          <cell r="A2146" t="str">
            <v>0012-03050-01</v>
          </cell>
          <cell r="B2146" t="str">
            <v>SOFTIMAGE Renderer for IRIX</v>
          </cell>
          <cell r="C2146">
            <v>125</v>
          </cell>
        </row>
        <row r="2147">
          <cell r="A2147" t="str">
            <v>0012-03049-01</v>
          </cell>
          <cell r="B2147" t="str">
            <v>SOFTIMAGE Renderer for NT</v>
          </cell>
          <cell r="C2147">
            <v>125</v>
          </cell>
        </row>
        <row r="2148">
          <cell r="A2148" t="str">
            <v>0010-03416-01</v>
          </cell>
          <cell r="B2148" t="str">
            <v>Kit, SI Mental Ray Version Upgrade</v>
          </cell>
          <cell r="C2148">
            <v>625</v>
          </cell>
        </row>
        <row r="2149">
          <cell r="A2149" t="str">
            <v>0010-03417-01</v>
          </cell>
          <cell r="B2149" t="str">
            <v>Kit, SI Renderer Version Upgrade</v>
          </cell>
          <cell r="C2149">
            <v>0</v>
          </cell>
        </row>
        <row r="2150">
          <cell r="A2150" t="str">
            <v>0508-03001-01</v>
          </cell>
          <cell r="B2150" t="str">
            <v xml:space="preserve">Service Identifier, SI 3D </v>
          </cell>
          <cell r="C2150">
            <v>0</v>
          </cell>
        </row>
        <row r="2151">
          <cell r="A2151" t="str">
            <v>0508-03002-01</v>
          </cell>
          <cell r="B2151" t="str">
            <v>Service Identifier, SI 3D "extreme"</v>
          </cell>
          <cell r="C2151">
            <v>0</v>
          </cell>
        </row>
        <row r="2152">
          <cell r="A2152" t="str">
            <v>0012-03002-01</v>
          </cell>
          <cell r="B2152" t="str">
            <v>SOFTIMAGE|3D ver 3.8 SP2 for IRIX, English Version</v>
          </cell>
          <cell r="C2152">
            <v>4995</v>
          </cell>
        </row>
        <row r="2153">
          <cell r="A2153" t="str">
            <v>0012-03001-01</v>
          </cell>
          <cell r="B2153" t="str">
            <v>SOFTIMAGE|3D ver 3.8 SP2 for IRIX, Japanese Version</v>
          </cell>
          <cell r="C2153">
            <v>4995</v>
          </cell>
        </row>
        <row r="2154">
          <cell r="A2154" t="str">
            <v>0012-03006-01</v>
          </cell>
          <cell r="B2154" t="str">
            <v>SOFTIMAGE|3D ver 3.8 SP2 for IRIX, MLP, License Only</v>
          </cell>
          <cell r="C2154">
            <v>4995</v>
          </cell>
        </row>
        <row r="2155">
          <cell r="A2155" t="str">
            <v>0012-03003-01</v>
          </cell>
          <cell r="B2155" t="str">
            <v>SOFTIMAGE|3D ver 3.8 SP2 for NT, English Version</v>
          </cell>
          <cell r="C2155">
            <v>4995</v>
          </cell>
        </row>
        <row r="2156">
          <cell r="A2156" t="str">
            <v>0012-03004-01</v>
          </cell>
          <cell r="B2156" t="str">
            <v>SOFTIMAGE|3D ver 3.8 SP2 for NT, Japanese Version</v>
          </cell>
          <cell r="C2156">
            <v>4995</v>
          </cell>
        </row>
        <row r="2157">
          <cell r="A2157" t="str">
            <v>0012-03005-01</v>
          </cell>
          <cell r="B2157" t="str">
            <v>SOFTIMAGE|3D ver 3.8 SP2 for NT, MLP, License Only</v>
          </cell>
          <cell r="C2157">
            <v>4995</v>
          </cell>
        </row>
        <row r="2158">
          <cell r="A2158" t="str">
            <v>0012-03007-01</v>
          </cell>
          <cell r="B2158" t="str">
            <v>SOFTIMAGE|3D "extreme" ver 3.8 SP2 for IRIX, English Version</v>
          </cell>
          <cell r="C2158">
            <v>11995</v>
          </cell>
        </row>
        <row r="2159">
          <cell r="A2159" t="str">
            <v>0012-03008-01</v>
          </cell>
          <cell r="B2159" t="str">
            <v>SOFTIMAGE|3D "extreme" ver 3.8 SP2 for IRIX, Japanese Version</v>
          </cell>
          <cell r="C2159">
            <v>11995</v>
          </cell>
        </row>
        <row r="2160">
          <cell r="A2160" t="str">
            <v>0012-03013-01</v>
          </cell>
          <cell r="B2160" t="str">
            <v>SOFTIMAGE|3D "extreme" ver 3.8 SP2 for IRIX, MLP License Only</v>
          </cell>
          <cell r="C2160">
            <v>11995</v>
          </cell>
        </row>
        <row r="2161">
          <cell r="A2161" t="str">
            <v>0012-03009-01</v>
          </cell>
          <cell r="B2161" t="str">
            <v>SOFTIMAGE|3D "extreme" ver 3.8 SP2 for NT, English Version</v>
          </cell>
          <cell r="C2161">
            <v>11995</v>
          </cell>
        </row>
        <row r="2162">
          <cell r="A2162" t="str">
            <v>0012-03011-01</v>
          </cell>
          <cell r="B2162" t="str">
            <v>SOFTIMAGE|3D "extreme" ver 3.8 SP2 for NT, Japanese Version</v>
          </cell>
          <cell r="C2162">
            <v>11995</v>
          </cell>
        </row>
        <row r="2163">
          <cell r="A2163" t="str">
            <v>0012-03014-01</v>
          </cell>
          <cell r="B2163" t="str">
            <v>SOFTIMAGE|3D "extreme" ver 3.8 SP2 for NT, MLP License Only</v>
          </cell>
          <cell r="C2163">
            <v>11995</v>
          </cell>
        </row>
        <row r="2164">
          <cell r="A2164" t="str">
            <v>0012-03021-01</v>
          </cell>
          <cell r="B2164" t="str">
            <v>Kit, SDK 3D Corporate</v>
          </cell>
          <cell r="C2164">
            <v>750</v>
          </cell>
        </row>
        <row r="2165">
          <cell r="A2165" t="str">
            <v>0010-03148-01</v>
          </cell>
          <cell r="B2165" t="str">
            <v>SI 3D Plus, (for SOFTIMAGE|3D customers w/ 3.8 SP1 or higher)</v>
          </cell>
          <cell r="C2165">
            <v>3295</v>
          </cell>
        </row>
        <row r="2166">
          <cell r="A2166" t="str">
            <v>0010-03149-01</v>
          </cell>
          <cell r="B2166" t="str">
            <v>SI 3D Performance, (for SOFTIMAGE|3D "extreme" customers w/ 3.8 SP1 or higher)</v>
          </cell>
          <cell r="C2166">
            <v>5495</v>
          </cell>
        </row>
        <row r="2167">
          <cell r="A2167" t="str">
            <v>0560-03063-01</v>
          </cell>
          <cell r="B2167" t="str">
            <v>SI 3D FX, adds SOFTIMAGE|EDDIE(IRIX)(For SOFTIMAGE|3D customers only)</v>
          </cell>
          <cell r="C2167">
            <v>3195</v>
          </cell>
        </row>
        <row r="2168">
          <cell r="A2168" t="str">
            <v>0560-03059-01</v>
          </cell>
          <cell r="B2168" t="str">
            <v>SI 3D FX/ Media Illusion for O2 ( For SOFTIMAGE|3D "extreme" customers only)</v>
          </cell>
          <cell r="C2168">
            <v>14000</v>
          </cell>
        </row>
        <row r="2169">
          <cell r="A2169" t="str">
            <v>0560-03059-02</v>
          </cell>
          <cell r="B2169" t="str">
            <v>SI 3D FX/ Media Illusion for Octane (For SOFTIMAGE|3D "extreme" customers only)</v>
          </cell>
          <cell r="C2169">
            <v>20000</v>
          </cell>
        </row>
        <row r="2170">
          <cell r="A2170" t="str">
            <v>0010-03159-01</v>
          </cell>
          <cell r="B2170" t="str">
            <v>SI|3D GT 3 Pack (for 3.8SP1 or higher), English Version</v>
          </cell>
          <cell r="C2170">
            <v>6595</v>
          </cell>
        </row>
        <row r="2171">
          <cell r="A2171" t="str">
            <v>0010-03159-02</v>
          </cell>
          <cell r="B2171" t="str">
            <v>SI|3D GT 3 Pack (for 3.8SP1 or higher), Japanese Version</v>
          </cell>
          <cell r="C2171">
            <v>6595</v>
          </cell>
        </row>
        <row r="2172">
          <cell r="A2172" t="str">
            <v>0010-03592-01</v>
          </cell>
          <cell r="B2172" t="str">
            <v>Kit, SI 3D Live</v>
          </cell>
          <cell r="C2172">
            <v>495</v>
          </cell>
        </row>
        <row r="2173">
          <cell r="A2173" t="str">
            <v>0010-03066-01</v>
          </cell>
          <cell r="B2173" t="str">
            <v>Kit, SI 3D Games Development Kit, Nintendo, English</v>
          </cell>
          <cell r="C2173">
            <v>995</v>
          </cell>
        </row>
        <row r="2174">
          <cell r="A2174" t="str">
            <v>0010-03067-01</v>
          </cell>
          <cell r="B2174" t="str">
            <v>Kit, SI 3D Games Development Kit, Nintendo, Japanese</v>
          </cell>
          <cell r="C2174">
            <v>995</v>
          </cell>
        </row>
        <row r="2175">
          <cell r="A2175" t="str">
            <v>0010-03068-01</v>
          </cell>
          <cell r="B2175" t="str">
            <v>Kit, SI 3D Games Development Kit, Nintendo, MLP License Only</v>
          </cell>
          <cell r="C2175">
            <v>995</v>
          </cell>
        </row>
        <row r="2176">
          <cell r="A2176" t="str">
            <v>0010-03069-01</v>
          </cell>
          <cell r="B2176" t="str">
            <v>Kit, SI 3D Games Development Kit, Sony, English</v>
          </cell>
          <cell r="C2176">
            <v>995</v>
          </cell>
        </row>
        <row r="2177">
          <cell r="A2177" t="str">
            <v>0010-03070-01</v>
          </cell>
          <cell r="B2177" t="str">
            <v>Kit, SI 3D Games Development Kit, Sony, Japanese</v>
          </cell>
          <cell r="C2177">
            <v>995</v>
          </cell>
        </row>
        <row r="2178">
          <cell r="A2178" t="str">
            <v>0010-03071-01</v>
          </cell>
          <cell r="B2178" t="str">
            <v>Kit, SI 3D Games Development Kit, Sony, MLP License Only</v>
          </cell>
          <cell r="C2178">
            <v>995</v>
          </cell>
        </row>
        <row r="2179">
          <cell r="A2179" t="str">
            <v>0010-03072-01</v>
          </cell>
          <cell r="B2179" t="str">
            <v>Kit, SI 3D Games Development Kit, Sega, English</v>
          </cell>
          <cell r="C2179">
            <v>995</v>
          </cell>
        </row>
        <row r="2180">
          <cell r="A2180" t="str">
            <v>0010-03073-01</v>
          </cell>
          <cell r="B2180" t="str">
            <v>Kit, SI 3D Games Development Kit, Sega, Japanese</v>
          </cell>
          <cell r="C2180">
            <v>995</v>
          </cell>
        </row>
        <row r="2181">
          <cell r="A2181" t="str">
            <v>0010-03074-01</v>
          </cell>
          <cell r="B2181" t="str">
            <v>Kit, SI 3D Games Development Kit, Sega, MLP License Only</v>
          </cell>
          <cell r="C2181">
            <v>995</v>
          </cell>
        </row>
        <row r="2182">
          <cell r="A2182" t="str">
            <v>0508-03014-01</v>
          </cell>
          <cell r="B2182" t="str">
            <v>Service Identifier, SI 3D Student Subscription Program</v>
          </cell>
          <cell r="C2182">
            <v>0</v>
          </cell>
        </row>
        <row r="2183">
          <cell r="A2183" t="str">
            <v>0010-03075-01</v>
          </cell>
          <cell r="B2183" t="str">
            <v>SI 3D 3.8 SP1 IRIX Student Subscription</v>
          </cell>
          <cell r="C2183">
            <v>1500</v>
          </cell>
        </row>
        <row r="2184">
          <cell r="A2184" t="str">
            <v>0010-03076-01</v>
          </cell>
          <cell r="B2184" t="str">
            <v>SI 3D 3.8 SP1 NT Student Subscription</v>
          </cell>
          <cell r="C2184">
            <v>1500</v>
          </cell>
        </row>
        <row r="2185">
          <cell r="A2185" t="str">
            <v>0560-00011-01</v>
          </cell>
          <cell r="B2185" t="str">
            <v>SI 3D 3.8 SP1 Student Subscription Renewal</v>
          </cell>
          <cell r="C2185">
            <v>1500</v>
          </cell>
        </row>
        <row r="2186">
          <cell r="A2186" t="str">
            <v>0012-03010-01</v>
          </cell>
          <cell r="B2186" t="str">
            <v>SI 3D "extreme" ver 3.8 SP1 for NT, English,Authorized Educator</v>
          </cell>
          <cell r="C2186">
            <v>995</v>
          </cell>
        </row>
        <row r="2187">
          <cell r="A2187" t="str">
            <v>0012-03012-01</v>
          </cell>
          <cell r="B2187" t="str">
            <v>SI 3D "extreme" ver 3.8 SP1 for NT, Japanese, Authorized Educator</v>
          </cell>
          <cell r="C2187">
            <v>995</v>
          </cell>
        </row>
        <row r="2188">
          <cell r="A2188" t="str">
            <v>0012-03022-01</v>
          </cell>
          <cell r="B2188" t="str">
            <v>Kit, SDK 3D Educational</v>
          </cell>
          <cell r="C2188">
            <v>100</v>
          </cell>
        </row>
        <row r="2189">
          <cell r="A2189" t="str">
            <v>0540-00754-01</v>
          </cell>
          <cell r="B2189" t="str">
            <v>Mnt, SI 3D "extreme" NT RSA, Authorized Educator</v>
          </cell>
          <cell r="C2189">
            <v>195</v>
          </cell>
        </row>
        <row r="2190">
          <cell r="A2190" t="str">
            <v>0010-03150-01</v>
          </cell>
          <cell r="B2190" t="str">
            <v>Upgrade, SI 3D ver. 3.5 or 3.7 to 3.8 SP2, IRIX/NT, English</v>
          </cell>
          <cell r="C2190">
            <v>1250</v>
          </cell>
        </row>
        <row r="2191">
          <cell r="A2191" t="str">
            <v>0010-03151-01</v>
          </cell>
          <cell r="B2191" t="str">
            <v>Upgrade, SI 3D ver. 3.5 or 3.7 to 3.8 SP2, IRIX/NT, Japanese</v>
          </cell>
          <cell r="C2191">
            <v>1250</v>
          </cell>
        </row>
        <row r="2192">
          <cell r="A2192" t="str">
            <v>0010-03152-01</v>
          </cell>
          <cell r="B2192" t="str">
            <v>Upgrade, SI 3D ver 3.8 or 3.8 SP1 to 3.8 SP2, IRIX/NT, English</v>
          </cell>
          <cell r="C2192">
            <v>1250</v>
          </cell>
        </row>
        <row r="2193">
          <cell r="A2193" t="str">
            <v>0010-03153-01</v>
          </cell>
          <cell r="B2193" t="str">
            <v>Upgrade, SI 3D  ver 3.8 or 3.8 SP1 to 3.8 SP2, IRIX/NT, Japanese</v>
          </cell>
          <cell r="C2193">
            <v>1250</v>
          </cell>
        </row>
        <row r="2194">
          <cell r="A2194" t="str">
            <v>0010-03154-01</v>
          </cell>
          <cell r="B2194" t="str">
            <v>Upgrade, SI 3D "extreme"  ver 3.5 or 3.7 to 3.8 SP2, IRIX/NT, English</v>
          </cell>
          <cell r="C2194">
            <v>3000</v>
          </cell>
        </row>
        <row r="2195">
          <cell r="A2195" t="str">
            <v>0010-03155-01</v>
          </cell>
          <cell r="B2195" t="str">
            <v>Upgrade, SI 3D "extreme" ver 3.5 or 3.7 to 3.8 SP2, IRIX/NT, Japanese</v>
          </cell>
          <cell r="C2195">
            <v>3000</v>
          </cell>
        </row>
        <row r="2196">
          <cell r="A2196" t="str">
            <v>0010-03156-01</v>
          </cell>
          <cell r="B2196" t="str">
            <v>Upgrade, SI 3D "extreme" ver 3.8 or 3.8 SP1 to 3.8 SP2, IRIX/NT, English</v>
          </cell>
          <cell r="C2196">
            <v>3000</v>
          </cell>
        </row>
        <row r="2197">
          <cell r="A2197" t="str">
            <v>0010-03157-01</v>
          </cell>
          <cell r="B2197" t="str">
            <v>Upgrade, SI 3D "extreme" ver 3.8 or 3.8 SP1 to 3.8 SP2, IRIX/NT, Japanese</v>
          </cell>
          <cell r="C2197">
            <v>3000</v>
          </cell>
        </row>
        <row r="2198">
          <cell r="A2198" t="str">
            <v>0010-03161-01</v>
          </cell>
          <cell r="B2198" t="str">
            <v>Upgrade, SI 3D to 3D "extreme", IRIX/NT, Existing License</v>
          </cell>
          <cell r="C2198">
            <v>2995</v>
          </cell>
        </row>
        <row r="2199">
          <cell r="A2199" t="str">
            <v>0010-03162-01</v>
          </cell>
          <cell r="B2199" t="str">
            <v>Upgrade, SI 3D to 3D "extreme", IRIX/NT, New License</v>
          </cell>
          <cell r="C2199">
            <v>7995</v>
          </cell>
        </row>
        <row r="2200">
          <cell r="A2200" t="str">
            <v>0010-03160-01</v>
          </cell>
          <cell r="B2200" t="str">
            <v>Upgrade, SI|3D GT 3 pack to 3x SI|3D Base, IRIX/NT</v>
          </cell>
          <cell r="C2200">
            <v>8999</v>
          </cell>
        </row>
        <row r="2201">
          <cell r="A2201" t="str">
            <v>0560-03064-01</v>
          </cell>
          <cell r="B2201" t="str">
            <v>SOFTIMAGE|3D "extreme" Performance Bundle for Existing License</v>
          </cell>
          <cell r="C2201">
            <v>4495</v>
          </cell>
        </row>
        <row r="2202">
          <cell r="A2202" t="str">
            <v>0510-03103-01</v>
          </cell>
          <cell r="B2202" t="str">
            <v>Upgrade, SI 3D License Transfer, NT to IRIX</v>
          </cell>
          <cell r="C2202">
            <v>0</v>
          </cell>
        </row>
        <row r="2203">
          <cell r="A2203" t="str">
            <v>0510-03104-01</v>
          </cell>
          <cell r="B2203" t="str">
            <v>Upgrade, SI 3D License Transfer, IRIX to NT</v>
          </cell>
          <cell r="C2203">
            <v>0</v>
          </cell>
        </row>
        <row r="2204">
          <cell r="A2204" t="str">
            <v>0510-03105-01</v>
          </cell>
          <cell r="B2204" t="str">
            <v>Upgrade, SI 3D License Transfer, Processor</v>
          </cell>
          <cell r="C2204">
            <v>0</v>
          </cell>
        </row>
        <row r="2205">
          <cell r="A2205" t="str">
            <v>0540-00749-01</v>
          </cell>
          <cell r="B2205" t="str">
            <v xml:space="preserve">Mnt, SI 3D IRIX </v>
          </cell>
          <cell r="C2205">
            <v>999</v>
          </cell>
        </row>
        <row r="2206">
          <cell r="A2206" t="str">
            <v>0540-00748-01</v>
          </cell>
          <cell r="B2206" t="str">
            <v xml:space="preserve">Mnt, SI 3D NT </v>
          </cell>
          <cell r="C2206">
            <v>999</v>
          </cell>
        </row>
        <row r="2207">
          <cell r="A2207" t="str">
            <v>0540-00753-01</v>
          </cell>
          <cell r="B2207" t="str">
            <v xml:space="preserve">Mnt, SI 3D "extreme" IRIX </v>
          </cell>
          <cell r="C2207">
            <v>2399</v>
          </cell>
        </row>
        <row r="2208">
          <cell r="A2208" t="str">
            <v>0540-00752-01</v>
          </cell>
          <cell r="B2208" t="str">
            <v xml:space="preserve">Mnt, SI 3D "extreme" NT </v>
          </cell>
          <cell r="C2208">
            <v>2399</v>
          </cell>
        </row>
        <row r="2209">
          <cell r="A2209" t="str">
            <v>0540-03023-01</v>
          </cell>
          <cell r="B2209" t="str">
            <v>Mnt, SI 3D IRIX, Renewal</v>
          </cell>
          <cell r="C2209">
            <v>999</v>
          </cell>
        </row>
        <row r="2210">
          <cell r="A2210" t="str">
            <v>0540-03024-01</v>
          </cell>
          <cell r="B2210" t="str">
            <v>Mnt, SI 3D NT, Renewal</v>
          </cell>
          <cell r="C2210">
            <v>999</v>
          </cell>
        </row>
        <row r="2211">
          <cell r="A2211" t="str">
            <v>0540-03027-01</v>
          </cell>
          <cell r="B2211" t="str">
            <v>Mnt, SI 3D "extreme" IRIX, Renewal</v>
          </cell>
          <cell r="C2211">
            <v>2399</v>
          </cell>
        </row>
        <row r="2212">
          <cell r="A2212" t="str">
            <v>0540-03028-01</v>
          </cell>
          <cell r="B2212" t="str">
            <v>Mnt, SI 3D "extreme" NT, Renewal</v>
          </cell>
          <cell r="C2212">
            <v>2399</v>
          </cell>
        </row>
        <row r="2213">
          <cell r="A2213" t="str">
            <v>0540-03031-01</v>
          </cell>
          <cell r="B2213" t="str">
            <v>Mnt, SI 3D "extreme" FX IRIX, Renewal</v>
          </cell>
          <cell r="C2213">
            <v>2799</v>
          </cell>
        </row>
        <row r="2214">
          <cell r="A2214" t="str">
            <v>0130-01484-02</v>
          </cell>
          <cell r="B2214" t="str">
            <v>Doc, SI 3D Crossplatform Documentation Set</v>
          </cell>
          <cell r="C2214">
            <v>395</v>
          </cell>
        </row>
        <row r="2215">
          <cell r="A2215" t="str">
            <v>0500-03030-01</v>
          </cell>
          <cell r="B2215" t="str">
            <v>Demo, 3D "extreme" with Performance Pack Demo Bundle</v>
          </cell>
          <cell r="C2215" t="str">
            <v>x</v>
          </cell>
        </row>
        <row r="2216">
          <cell r="A2216" t="str">
            <v>0508-03010-01</v>
          </cell>
          <cell r="B2216" t="str">
            <v>Service Identifier SI Eddie Standalone</v>
          </cell>
          <cell r="C2216">
            <v>0</v>
          </cell>
        </row>
        <row r="2217">
          <cell r="A2217" t="str">
            <v>0508-03011-01</v>
          </cell>
          <cell r="B2217" t="str">
            <v>Service Identifier SI Eddie Batch</v>
          </cell>
          <cell r="C2217">
            <v>0</v>
          </cell>
        </row>
        <row r="2218">
          <cell r="A2218" t="str">
            <v>0012-03053-01</v>
          </cell>
          <cell r="B2218" t="str">
            <v xml:space="preserve">SOFTIMAGE EDDIE  for IRIX </v>
          </cell>
          <cell r="C2218">
            <v>3995</v>
          </cell>
        </row>
        <row r="2219">
          <cell r="A2219" t="str">
            <v>0012-03054-01</v>
          </cell>
          <cell r="B2219" t="str">
            <v xml:space="preserve">SOFTIMAGE EDDIE  for IRIX, MLP License Only </v>
          </cell>
          <cell r="C2219">
            <v>3995</v>
          </cell>
        </row>
        <row r="2220">
          <cell r="A2220" t="str">
            <v>0012-03055-01</v>
          </cell>
          <cell r="B2220" t="str">
            <v xml:space="preserve">SOFTIMAGE EDDIE Batch Renderer for IRIX </v>
          </cell>
          <cell r="C2220">
            <v>495</v>
          </cell>
        </row>
        <row r="2221">
          <cell r="A2221" t="str">
            <v>0012-03056-01</v>
          </cell>
          <cell r="B2221" t="str">
            <v>SOFTIMAGE EDDIE Batch Renderer for IRIX, MLP License Only</v>
          </cell>
          <cell r="C2221">
            <v>495</v>
          </cell>
        </row>
        <row r="2222">
          <cell r="A2222" t="str">
            <v>0540-00762-01</v>
          </cell>
          <cell r="B2222" t="str">
            <v>Mnt, SI Eddie Standalone IRIX</v>
          </cell>
          <cell r="C2222">
            <v>400</v>
          </cell>
        </row>
        <row r="2223">
          <cell r="A2223" t="str">
            <v>0540-00763-01</v>
          </cell>
          <cell r="B2223" t="str">
            <v>Mnt, SI Rendering IRIX Eddie Batch</v>
          </cell>
          <cell r="C2223">
            <v>95</v>
          </cell>
        </row>
        <row r="2224">
          <cell r="A2224" t="str">
            <v>0540-03039-01</v>
          </cell>
          <cell r="B2224" t="str">
            <v>Mnt, SI Eddie Standalone IRIX</v>
          </cell>
          <cell r="C2224">
            <v>400</v>
          </cell>
        </row>
        <row r="2225">
          <cell r="A2225" t="str">
            <v>0540-03041-01</v>
          </cell>
          <cell r="B2225" t="str">
            <v>Mnt, SI Rendering IRIX Eddie Batch</v>
          </cell>
          <cell r="C2225">
            <v>95</v>
          </cell>
        </row>
        <row r="2226">
          <cell r="A2226" t="str">
            <v>0010-03176-01</v>
          </cell>
          <cell r="B2226" t="str">
            <v>Kit, Upgrade SI Eddie, vers. 3.1/3.2 to 3.5 SP1, IRIX, English</v>
          </cell>
          <cell r="C2226">
            <v>1000</v>
          </cell>
        </row>
        <row r="2227">
          <cell r="A2227" t="str">
            <v>0130-01488-01</v>
          </cell>
          <cell r="B2227" t="str">
            <v>Doc, SI Eddie vers 3.5 SP1 Documentation Set</v>
          </cell>
          <cell r="C2227">
            <v>125</v>
          </cell>
        </row>
        <row r="2228">
          <cell r="A2228" t="str">
            <v>0508-03005-01</v>
          </cell>
          <cell r="B2228" t="str">
            <v>Service Identifier SI Toonz Studio</v>
          </cell>
          <cell r="C2228">
            <v>0</v>
          </cell>
        </row>
        <row r="2229">
          <cell r="A2229" t="str">
            <v>0508-03019-01</v>
          </cell>
          <cell r="B2229" t="str">
            <v>Service Identifier SI Toonz Studio TV</v>
          </cell>
          <cell r="C2229">
            <v>0</v>
          </cell>
        </row>
        <row r="2230">
          <cell r="A2230" t="str">
            <v>0508-03006-01</v>
          </cell>
          <cell r="B2230" t="str">
            <v>Service Identifier SI Toonz Ink &amp; Paint</v>
          </cell>
          <cell r="C2230">
            <v>0</v>
          </cell>
        </row>
        <row r="2231">
          <cell r="A2231" t="str">
            <v>0508-03007-01</v>
          </cell>
          <cell r="B2231" t="str">
            <v>Service Identifier SI Toonz Animation, Render &amp; Color Model</v>
          </cell>
          <cell r="C2231">
            <v>0</v>
          </cell>
        </row>
        <row r="2232">
          <cell r="A2232" t="str">
            <v>0508-03012-01</v>
          </cell>
          <cell r="B2232" t="str">
            <v>Service Identifier SI Toonz Non-Graphics</v>
          </cell>
          <cell r="C2232">
            <v>0</v>
          </cell>
        </row>
        <row r="2233">
          <cell r="A2233" t="str">
            <v>0012-03026-01</v>
          </cell>
          <cell r="B2233" t="str">
            <v>SOFTIMAGE TOONZ STUDIO ver 4.3 for NT</v>
          </cell>
          <cell r="C2233">
            <v>11995</v>
          </cell>
        </row>
        <row r="2234">
          <cell r="A2234" t="str">
            <v>0012-03027-01</v>
          </cell>
          <cell r="B2234" t="str">
            <v>SOFTIMAGE TOONZ STUDIO ver 4.3 for IRIX</v>
          </cell>
          <cell r="C2234">
            <v>11995</v>
          </cell>
        </row>
        <row r="2235">
          <cell r="A2235" t="str">
            <v>0010-03626-01</v>
          </cell>
          <cell r="B2235" t="str">
            <v>SOFTIMAGE TOONZ STUDIO TV ver 4.3 for NT</v>
          </cell>
          <cell r="C2235">
            <v>8495</v>
          </cell>
        </row>
        <row r="2236">
          <cell r="A2236" t="str">
            <v>0010-03628-01</v>
          </cell>
          <cell r="B2236" t="str">
            <v>SOFTIMAGE TOONZ STUDIO TV ver 4.3 for IRIX</v>
          </cell>
          <cell r="C2236">
            <v>8495</v>
          </cell>
        </row>
        <row r="2237">
          <cell r="A2237" t="str">
            <v>0012-03034-01</v>
          </cell>
          <cell r="B2237" t="str">
            <v>SOFTIMAGE TOONZ ver 4.3 Ink &amp; Paint for NT</v>
          </cell>
          <cell r="C2237">
            <v>4995</v>
          </cell>
        </row>
        <row r="2238">
          <cell r="A2238" t="str">
            <v>0012-03035-01</v>
          </cell>
          <cell r="B2238" t="str">
            <v>SOFTIMAGE TOONZ ver 4.3 Ink &amp; Paint for IRIX</v>
          </cell>
          <cell r="C2238">
            <v>4995</v>
          </cell>
        </row>
        <row r="2239">
          <cell r="A2239" t="str">
            <v>0012-03038-01</v>
          </cell>
          <cell r="B2239" t="str">
            <v>SI TOONZ ver 4.3 Animation &amp; Render for NT</v>
          </cell>
          <cell r="C2239">
            <v>6995</v>
          </cell>
        </row>
        <row r="2240">
          <cell r="A2240" t="str">
            <v>0012-03039-01</v>
          </cell>
          <cell r="B2240" t="str">
            <v>SI TOONZ ver 4.3 Animation &amp; Render for IRIX</v>
          </cell>
          <cell r="C2240">
            <v>6995</v>
          </cell>
        </row>
        <row r="2241">
          <cell r="A2241" t="str">
            <v>0012-03057-01</v>
          </cell>
          <cell r="B2241" t="str">
            <v>SI TOONZ ver 4.3 Non-Graphics for NT</v>
          </cell>
          <cell r="C2241">
            <v>3495</v>
          </cell>
        </row>
        <row r="2242">
          <cell r="A2242" t="str">
            <v>0012-03058-01</v>
          </cell>
          <cell r="B2242" t="str">
            <v>SI TOONZ ver 4.3 Non-Graphics for IRIX</v>
          </cell>
          <cell r="C2242">
            <v>3495</v>
          </cell>
        </row>
        <row r="2243">
          <cell r="A2243" t="str">
            <v>0010-03603-01</v>
          </cell>
          <cell r="B2243" t="str">
            <v>SFW, SI TOONZ Plug-in for SI 3D, WIN NT (#)</v>
          </cell>
          <cell r="C2243">
            <v>1950</v>
          </cell>
        </row>
        <row r="2244">
          <cell r="A2244" t="str">
            <v>0010-03604-01</v>
          </cell>
          <cell r="B2244" t="str">
            <v>SFW, SI TOONZ Plug-in for SI 3D, IRIX (#)</v>
          </cell>
          <cell r="C2244">
            <v>1950</v>
          </cell>
        </row>
        <row r="2245">
          <cell r="A2245" t="str">
            <v>0010-03607-01</v>
          </cell>
          <cell r="B2245" t="str">
            <v>SFW, SI LINETEST, WIN NT (#)</v>
          </cell>
          <cell r="C2245">
            <v>1950</v>
          </cell>
        </row>
        <row r="2246">
          <cell r="A2246" t="str">
            <v>0010-03608-01</v>
          </cell>
          <cell r="B2246" t="str">
            <v>SFW, SI LINETEST, IRIX (#)</v>
          </cell>
          <cell r="C2246">
            <v>1950</v>
          </cell>
        </row>
        <row r="2247">
          <cell r="A2247" t="str">
            <v>0540-00758-01</v>
          </cell>
          <cell r="B2247" t="str">
            <v>MNT,SI TOONZ STUDIO WIN NT</v>
          </cell>
          <cell r="C2247">
            <v>1350</v>
          </cell>
        </row>
        <row r="2248">
          <cell r="A2248" t="str">
            <v>0540-00765-01</v>
          </cell>
          <cell r="B2248" t="str">
            <v>MNT,SI TOONZ STUDIO IRIX</v>
          </cell>
          <cell r="C2248">
            <v>1350</v>
          </cell>
        </row>
        <row r="2249">
          <cell r="A2249" t="str">
            <v>0540-03139-01</v>
          </cell>
          <cell r="B2249" t="str">
            <v>MNT,SI TOONZ STUDIO TV WIN NT</v>
          </cell>
          <cell r="C2249">
            <v>960</v>
          </cell>
        </row>
        <row r="2250">
          <cell r="A2250" t="str">
            <v>0540-03140-01</v>
          </cell>
          <cell r="B2250" t="str">
            <v>MNT,SI TOONZ STUDIO TV IRIX</v>
          </cell>
          <cell r="C2250">
            <v>960</v>
          </cell>
        </row>
        <row r="2251">
          <cell r="A2251" t="str">
            <v>0540-00760-01</v>
          </cell>
          <cell r="B2251" t="str">
            <v>MNT,SI TOONZ INK &amp; PAINT WIN NT</v>
          </cell>
          <cell r="C2251">
            <v>570</v>
          </cell>
        </row>
        <row r="2252">
          <cell r="A2252" t="str">
            <v>0540-00767-01</v>
          </cell>
          <cell r="B2252" t="str">
            <v>MNT,SI TOONZ INK &amp; PAINT IRIX</v>
          </cell>
          <cell r="C2252">
            <v>570</v>
          </cell>
        </row>
        <row r="2253">
          <cell r="A2253" t="str">
            <v>0540-00761-01</v>
          </cell>
          <cell r="B2253" t="str">
            <v>MNT,SI TOONZ ANIMATION &amp; RENDER WIN NT</v>
          </cell>
          <cell r="C2253">
            <v>821</v>
          </cell>
        </row>
        <row r="2254">
          <cell r="A2254" t="str">
            <v>0540-00768-01</v>
          </cell>
          <cell r="B2254" t="str">
            <v>MNT,SI TOONZ ANIMATION &amp; RENDER IRIX</v>
          </cell>
          <cell r="C2254">
            <v>821</v>
          </cell>
        </row>
        <row r="2255">
          <cell r="A2255" t="str">
            <v>0540-00805-01</v>
          </cell>
          <cell r="B2255" t="str">
            <v>MNT,SI TOONZ NON-GRAPHICS WIN NT</v>
          </cell>
          <cell r="C2255">
            <v>394</v>
          </cell>
        </row>
        <row r="2256">
          <cell r="A2256" t="str">
            <v>0540-00769-01</v>
          </cell>
          <cell r="B2256" t="str">
            <v>MNT,SI TOONZ NON-GRAPHICS IRIX</v>
          </cell>
          <cell r="C2256">
            <v>394</v>
          </cell>
        </row>
        <row r="2257">
          <cell r="A2257" t="str">
            <v>0540-03043-01</v>
          </cell>
          <cell r="B2257" t="str">
            <v>MNT,SI TOONZ STUDIO WIN NT, Renewal</v>
          </cell>
          <cell r="C2257">
            <v>1795</v>
          </cell>
        </row>
        <row r="2258">
          <cell r="A2258" t="str">
            <v>0540-03044-01</v>
          </cell>
          <cell r="B2258" t="str">
            <v>MNT,SI TOONZ STUDIO IRIX, Renewal</v>
          </cell>
          <cell r="C2258">
            <v>1795</v>
          </cell>
        </row>
        <row r="2259">
          <cell r="A2259" t="str">
            <v>XXX</v>
          </cell>
          <cell r="B2259" t="str">
            <v>MNT,SI TOONZ STUDIO TV WIN NT, Renewal</v>
          </cell>
          <cell r="C2259">
            <v>1275</v>
          </cell>
        </row>
        <row r="2260">
          <cell r="A2260" t="str">
            <v>XXX</v>
          </cell>
          <cell r="B2260" t="str">
            <v>MNT,SI TOONZ STUDIO TV IRIX, Renewal</v>
          </cell>
          <cell r="C2260">
            <v>1275</v>
          </cell>
        </row>
        <row r="2261">
          <cell r="A2261" t="str">
            <v>0540-03047-01</v>
          </cell>
          <cell r="B2261" t="str">
            <v>MNT,SI TOONZ INK &amp; PAINT WIN NT, Renewal</v>
          </cell>
          <cell r="C2261">
            <v>750</v>
          </cell>
        </row>
        <row r="2262">
          <cell r="A2262" t="str">
            <v>0540-03048-01</v>
          </cell>
          <cell r="B2262" t="str">
            <v>MNT,SI TOONZ INK &amp; PAINT IRIX, Renewal</v>
          </cell>
          <cell r="C2262">
            <v>750</v>
          </cell>
        </row>
        <row r="2263">
          <cell r="A2263" t="str">
            <v>0540-03049-01</v>
          </cell>
          <cell r="B2263" t="str">
            <v>MNT,SI TOONZ ANIMATION &amp; RENDER WIN NT, Renewal</v>
          </cell>
          <cell r="C2263">
            <v>1095</v>
          </cell>
        </row>
        <row r="2264">
          <cell r="A2264" t="str">
            <v>0540-03050-01</v>
          </cell>
          <cell r="B2264" t="str">
            <v>MNT,SI TOONZ ANIMATION &amp; RENDER IRIX, Renewal</v>
          </cell>
          <cell r="C2264">
            <v>1095</v>
          </cell>
        </row>
        <row r="2265">
          <cell r="A2265" t="str">
            <v>0540-03051-01</v>
          </cell>
          <cell r="B2265" t="str">
            <v>MNT,SI TOONZ NON-GRAPHICS WIN NT, Renewal</v>
          </cell>
          <cell r="C2265">
            <v>525</v>
          </cell>
        </row>
        <row r="2266">
          <cell r="A2266" t="str">
            <v>0540-03052-01</v>
          </cell>
          <cell r="B2266" t="str">
            <v>MNT,SI TOONZ NON-GRAPHICS IRIX, Renewal</v>
          </cell>
          <cell r="C2266">
            <v>525</v>
          </cell>
        </row>
        <row r="2267">
          <cell r="A2267" t="str">
            <v>0508-03005-01</v>
          </cell>
          <cell r="B2267" t="str">
            <v>Service Identifier SI Toonz Full</v>
          </cell>
          <cell r="C2267">
            <v>0</v>
          </cell>
        </row>
        <row r="2268">
          <cell r="A2268" t="str">
            <v>0012-03028-01</v>
          </cell>
          <cell r="B2268" t="str">
            <v>SOFTIMAGE TOONZ FULL ver 4.3 for NT, Authorized Educator</v>
          </cell>
          <cell r="C2268">
            <v>1495</v>
          </cell>
        </row>
        <row r="2269">
          <cell r="A2269" t="str">
            <v>0012-03029-01</v>
          </cell>
          <cell r="B2269" t="str">
            <v>SOFTIMAGE TOONZ FULL ver 4.3 for IRIX, Authorized Educator</v>
          </cell>
          <cell r="C2269">
            <v>1495</v>
          </cell>
        </row>
        <row r="2270">
          <cell r="A2270" t="str">
            <v>0540-00759-01</v>
          </cell>
          <cell r="B2270" t="str">
            <v>MNT,SI TOONZ FULL WIN NT, Authorized Educator</v>
          </cell>
          <cell r="C2270">
            <v>295</v>
          </cell>
        </row>
        <row r="2271">
          <cell r="A2271" t="str">
            <v>0540-00766-01</v>
          </cell>
          <cell r="B2271" t="str">
            <v>MNT,SI TOONZ FULL IRIX, Authorized Educator</v>
          </cell>
          <cell r="C2271">
            <v>295</v>
          </cell>
        </row>
        <row r="2272">
          <cell r="A2272" t="str">
            <v>xxx</v>
          </cell>
          <cell r="B2272" t="str">
            <v>SFW, SI LINETEST, WIN NT Authorized Educator (*)</v>
          </cell>
          <cell r="C2272">
            <v>300</v>
          </cell>
        </row>
        <row r="2273">
          <cell r="A2273" t="str">
            <v>xxx</v>
          </cell>
          <cell r="B2273" t="str">
            <v>SFW, SI LINETEST, IRIX Authorized Educator (*)</v>
          </cell>
          <cell r="C2273">
            <v>300</v>
          </cell>
        </row>
        <row r="2274">
          <cell r="A2274" t="str">
            <v>xxx</v>
          </cell>
          <cell r="B2274" t="str">
            <v>DONG, Additional Dongle for Linetest ver 1.0 for NT, Authorized Educator</v>
          </cell>
          <cell r="C2274">
            <v>100</v>
          </cell>
        </row>
        <row r="2275">
          <cell r="A2275" t="str">
            <v>xxx</v>
          </cell>
          <cell r="B2275" t="str">
            <v>SFW, SI TOONZ Plug-in for SI 3D, WIN NT, Authorized Educator (**)</v>
          </cell>
          <cell r="C2275">
            <v>300</v>
          </cell>
        </row>
        <row r="2276">
          <cell r="A2276" t="str">
            <v>xxx</v>
          </cell>
          <cell r="B2276" t="str">
            <v>SFW, SI TOONZ Plug-in for SI 3D, IRIX, Authorized Educator (**)</v>
          </cell>
          <cell r="C2276">
            <v>300</v>
          </cell>
        </row>
        <row r="2277">
          <cell r="A2277" t="str">
            <v>0508-03008-01</v>
          </cell>
          <cell r="B2277" t="str">
            <v>TOONZ Reseller Demo (includes NFR for Linetest &amp; Toonz plug-in to SI|3D)</v>
          </cell>
          <cell r="C2277" t="str">
            <v>x</v>
          </cell>
        </row>
        <row r="2278">
          <cell r="A2278" t="str">
            <v>0130-04364-01</v>
          </cell>
          <cell r="B2278" t="str">
            <v>Doc., SI TOONZ Cross Platform Doc &amp; CD</v>
          </cell>
          <cell r="C2278" t="str">
            <v>x</v>
          </cell>
        </row>
        <row r="2279">
          <cell r="A2279" t="str">
            <v>0010-03241-01</v>
          </cell>
          <cell r="B2279" t="str">
            <v>SI TOONZ STUDIO Ver Upgrade to 4.3 (***)</v>
          </cell>
          <cell r="C2279">
            <v>2995</v>
          </cell>
        </row>
        <row r="2280">
          <cell r="A2280" t="str">
            <v>0010-03243-01</v>
          </cell>
          <cell r="B2280" t="str">
            <v>SI TOONZ Anim, Render &amp; Clr mdl Ver Upg to 4.3 (***)</v>
          </cell>
          <cell r="C2280">
            <v>1750</v>
          </cell>
        </row>
        <row r="2281">
          <cell r="A2281" t="str">
            <v>0010-03245-01</v>
          </cell>
          <cell r="B2281" t="str">
            <v>SI TOONZ Ink &amp; Paint Ver Upgrade to 4.3 (***)</v>
          </cell>
          <cell r="C2281">
            <v>1250</v>
          </cell>
        </row>
        <row r="2282">
          <cell r="A2282" t="str">
            <v>0010-03247-01</v>
          </cell>
          <cell r="B2282" t="str">
            <v>SI TOONZ Non-Graphics Ver Upgrade to 4.3 (***)</v>
          </cell>
          <cell r="C2282">
            <v>840</v>
          </cell>
        </row>
        <row r="2283">
          <cell r="A2283" t="str">
            <v>0010-03620-01</v>
          </cell>
          <cell r="B2283" t="str">
            <v>UPG, SI TOONZ from Ink &amp; Paint to STUDIO, WIN NT</v>
          </cell>
          <cell r="C2283">
            <v>6995</v>
          </cell>
        </row>
        <row r="2284">
          <cell r="A2284" t="str">
            <v>0010-03621-01</v>
          </cell>
          <cell r="B2284" t="str">
            <v>UPG, SI TOONZ from Ink &amp; Paint to STUDIO TV, WIN NT</v>
          </cell>
          <cell r="C2284">
            <v>3495</v>
          </cell>
        </row>
        <row r="2285">
          <cell r="A2285" t="str">
            <v>0010-03622-01</v>
          </cell>
          <cell r="B2285" t="str">
            <v>UPG, SI TOONZ from Animation &amp; Render to STUDIO, WIN NT</v>
          </cell>
          <cell r="C2285">
            <v>4995</v>
          </cell>
        </row>
        <row r="2286">
          <cell r="A2286" t="str">
            <v>0010-03623-01</v>
          </cell>
          <cell r="B2286" t="str">
            <v>UPG, SI TOONZ from Non-Graphics to STUDIO, WIN NT</v>
          </cell>
          <cell r="C2286">
            <v>8495</v>
          </cell>
        </row>
        <row r="2287">
          <cell r="A2287" t="str">
            <v>0010-03624-01</v>
          </cell>
          <cell r="B2287" t="str">
            <v>UPG, SI TOONZ from Non-Graphics to STUDIO TV, WIN NT</v>
          </cell>
          <cell r="C2287">
            <v>4995</v>
          </cell>
        </row>
        <row r="2288">
          <cell r="A2288" t="str">
            <v>0010-03625-01</v>
          </cell>
          <cell r="B2288" t="str">
            <v>UPG, SI TOONZ from Non-Graphics to Animation &amp; Render, WIN NT</v>
          </cell>
          <cell r="C2288">
            <v>3495</v>
          </cell>
        </row>
        <row r="2289">
          <cell r="A2289" t="str">
            <v>0010-03614-01</v>
          </cell>
          <cell r="B2289" t="str">
            <v>UPG, SI TOONZ from Ink &amp; Paint to STUDIO, IRIX</v>
          </cell>
          <cell r="C2289">
            <v>6995</v>
          </cell>
        </row>
        <row r="2290">
          <cell r="A2290" t="str">
            <v>0010-03615-01</v>
          </cell>
          <cell r="B2290" t="str">
            <v>UPG, SI TOONZ from Ink &amp; Paint to STUDIO TV, IRIX</v>
          </cell>
          <cell r="C2290">
            <v>3495</v>
          </cell>
        </row>
        <row r="2291">
          <cell r="A2291" t="str">
            <v>0010-03616-01</v>
          </cell>
          <cell r="B2291" t="str">
            <v>UPG, SI TOONZ from Animation &amp; Render to STUDIO, IRIX</v>
          </cell>
          <cell r="C2291">
            <v>4995</v>
          </cell>
        </row>
        <row r="2292">
          <cell r="A2292" t="str">
            <v>0010-03617-01</v>
          </cell>
          <cell r="B2292" t="str">
            <v>UPG, SI TOONZ from Non-Graphics to STUDIO, IRIX</v>
          </cell>
          <cell r="C2292">
            <v>8495</v>
          </cell>
        </row>
        <row r="2293">
          <cell r="A2293" t="str">
            <v>0010-03618-01</v>
          </cell>
          <cell r="B2293" t="str">
            <v>UPG, SI TOONZ from Non-Graphics to STUDIO TV, IRIX</v>
          </cell>
          <cell r="C2293">
            <v>4995</v>
          </cell>
        </row>
        <row r="2294">
          <cell r="A2294" t="str">
            <v>0010-03619-01</v>
          </cell>
          <cell r="B2294" t="str">
            <v>UPG, SI TOONZ from Non-Graphics to Animation &amp; Render, IRIX</v>
          </cell>
          <cell r="C2294">
            <v>3495</v>
          </cell>
        </row>
        <row r="2295">
          <cell r="A2295" t="str">
            <v>0508-03014-01</v>
          </cell>
          <cell r="B2295" t="str">
            <v>Service Identifier, SI 3D Individual Use Program**</v>
          </cell>
          <cell r="C2295">
            <v>0</v>
          </cell>
        </row>
        <row r="2296">
          <cell r="A2296" t="str">
            <v>0010-03075-01</v>
          </cell>
          <cell r="B2296" t="str">
            <v>SI 3D 3.8 "extreme" SP2 IRIX Individual Use**</v>
          </cell>
          <cell r="C2296">
            <v>995</v>
          </cell>
        </row>
        <row r="2297">
          <cell r="A2297" t="str">
            <v>0010-03076-01</v>
          </cell>
          <cell r="B2297" t="str">
            <v>SI 3D "extreme" 3.8 SP2 NT Individual Use**</v>
          </cell>
          <cell r="C2297">
            <v>995</v>
          </cell>
        </row>
        <row r="2298">
          <cell r="A2298" t="str">
            <v>0010-03413-01</v>
          </cell>
          <cell r="B2298" t="str">
            <v>SI 3D Performance Opt, (for SOFTIMAGE|3D "extreme" 3.8 SP1 or higher) Individual Use</v>
          </cell>
          <cell r="C2298">
            <v>495</v>
          </cell>
        </row>
        <row r="2299">
          <cell r="A2299" t="str">
            <v>0506-00011-01</v>
          </cell>
          <cell r="B2299" t="str">
            <v>SI 3D 3.8 "extreme"  Individual Use Renewal**</v>
          </cell>
          <cell r="C2299">
            <v>0</v>
          </cell>
        </row>
        <row r="2300">
          <cell r="A2300" t="str">
            <v>0010-03593-01</v>
          </cell>
          <cell r="B2300" t="str">
            <v>Upg, SI 3D Performance Option Individual Use from v3.8 SP1 to v3.8 SP2</v>
          </cell>
          <cell r="C2300">
            <v>99</v>
          </cell>
        </row>
        <row r="2301">
          <cell r="A2301" t="str">
            <v>0560-03153-01</v>
          </cell>
          <cell r="B2301" t="str">
            <v>PRM, SI 3D Trade Up Credit, Individual Use to Production License</v>
          </cell>
          <cell r="C2301">
            <v>-1500</v>
          </cell>
        </row>
        <row r="2302">
          <cell r="A2302" t="str">
            <v>0508-03015-01</v>
          </cell>
          <cell r="B2302" t="str">
            <v>Service Identifier, SI 3D "extreme" Educational</v>
          </cell>
          <cell r="C2302">
            <v>0</v>
          </cell>
        </row>
        <row r="2303">
          <cell r="A2303" t="str">
            <v>0012-03010-01</v>
          </cell>
          <cell r="B2303" t="str">
            <v>SI 3D "extreme" ver 3.8 SP2 for NT, English, Educational</v>
          </cell>
          <cell r="C2303">
            <v>995</v>
          </cell>
        </row>
        <row r="2304">
          <cell r="A2304" t="str">
            <v>0012-03012-01</v>
          </cell>
          <cell r="B2304" t="str">
            <v>SI 3D "extreme" ver 3.8 SP2 for NT, Japanese,  Educational</v>
          </cell>
          <cell r="C2304">
            <v>995</v>
          </cell>
        </row>
        <row r="2305">
          <cell r="A2305" t="str">
            <v>0010-03414-01</v>
          </cell>
          <cell r="B2305" t="str">
            <v>SI 3D "extreme" ver 3.8 SP2 for IRIX, English, Educational</v>
          </cell>
          <cell r="C2305">
            <v>995</v>
          </cell>
        </row>
        <row r="2306">
          <cell r="A2306" t="str">
            <v>0010-03415-01</v>
          </cell>
          <cell r="B2306" t="str">
            <v>SI 3D "extreme" ver 3.8 SP2 for IRIX, Japanese,  Educational</v>
          </cell>
          <cell r="C2306">
            <v>995</v>
          </cell>
        </row>
        <row r="2307">
          <cell r="A2307" t="str">
            <v>0012-03022-01</v>
          </cell>
          <cell r="B2307" t="str">
            <v>Kit, SDK 3D Educational</v>
          </cell>
          <cell r="C2307">
            <v>250</v>
          </cell>
        </row>
        <row r="2308">
          <cell r="A2308" t="str">
            <v>0010-03149-02</v>
          </cell>
          <cell r="B2308" t="str">
            <v>SI 3D Performance Opt, (for SOFTIMAGE|3D "extreme" 3.8 SP1 or higher) Educational*</v>
          </cell>
          <cell r="C2308">
            <v>495</v>
          </cell>
        </row>
        <row r="2309">
          <cell r="A2309" t="str">
            <v>0540-00754-01</v>
          </cell>
          <cell r="B2309" t="str">
            <v>Mnt, SI 3D "extreme" NT/IRIX, limited maintenance, educational</v>
          </cell>
          <cell r="C2309">
            <v>195</v>
          </cell>
        </row>
        <row r="2310">
          <cell r="A2310" t="str">
            <v>0540-00754-02</v>
          </cell>
          <cell r="B2310" t="str">
            <v>Mnt, SI 3D "extreme" NT/IRIX,full maintenance, for 2 users, educational</v>
          </cell>
          <cell r="C2310">
            <v>995</v>
          </cell>
        </row>
        <row r="2311">
          <cell r="A2311" t="str">
            <v>0540-03122-01</v>
          </cell>
          <cell r="B2311" t="str">
            <v>Mnt, SI 3D "extreme" FX for IRIX, limited maintenance, educational, renewal</v>
          </cell>
          <cell r="C2311">
            <v>195</v>
          </cell>
        </row>
        <row r="2312">
          <cell r="A2312" t="str">
            <v>0540-03123-01</v>
          </cell>
          <cell r="B2312" t="str">
            <v>Mnt, SI 3D "extreme" FX for IRIX,full maintenance, for 2 users, educational,renewal</v>
          </cell>
          <cell r="C2312">
            <v>995</v>
          </cell>
        </row>
        <row r="2313">
          <cell r="A2313" t="str">
            <v>0508-03016-01</v>
          </cell>
          <cell r="B2313" t="str">
            <v>Service Identifier SI Eddie, Educational</v>
          </cell>
          <cell r="C2313">
            <v>0</v>
          </cell>
        </row>
        <row r="2314">
          <cell r="A2314" t="str">
            <v>0012-03053-02</v>
          </cell>
          <cell r="B2314" t="str">
            <v>SI Eddie for IRIX ver 3.5 SP1, IRIX, English, Educational</v>
          </cell>
          <cell r="C2314">
            <v>250</v>
          </cell>
        </row>
        <row r="2315">
          <cell r="A2315" t="str">
            <v>0540-03124-01</v>
          </cell>
          <cell r="B2315" t="str">
            <v>Mnt, SI Eddie for IRIX,limited maintenance, Educational</v>
          </cell>
          <cell r="C2315">
            <v>195</v>
          </cell>
        </row>
        <row r="2316">
          <cell r="A2316" t="str">
            <v>0508-03017-01</v>
          </cell>
          <cell r="B2316" t="str">
            <v>Service Identifier SI Toonz Studio, Educational</v>
          </cell>
          <cell r="C2316">
            <v>0</v>
          </cell>
        </row>
        <row r="2317">
          <cell r="A2317" t="str">
            <v>0012-03028-01</v>
          </cell>
          <cell r="B2317" t="str">
            <v xml:space="preserve">SOFTIMAGE TOONZ STUDIO ver 4.3 for NT, Educational </v>
          </cell>
          <cell r="C2317">
            <v>1495</v>
          </cell>
        </row>
        <row r="2318">
          <cell r="A2318" t="str">
            <v>0012-03032-01</v>
          </cell>
          <cell r="B2318" t="str">
            <v xml:space="preserve">SOFTIMAGE TOONZ STUDIO ver 4.3 for NT,MLP License Only, AE </v>
          </cell>
          <cell r="C2318">
            <v>1495</v>
          </cell>
        </row>
        <row r="2319">
          <cell r="A2319" t="str">
            <v>0012-03029-01</v>
          </cell>
          <cell r="B2319" t="str">
            <v>SOFTIMAGE TOONZ STUDIO ver 4.3 for IRIX, Educational</v>
          </cell>
          <cell r="C2319">
            <v>1495</v>
          </cell>
        </row>
        <row r="2320">
          <cell r="A2320" t="str">
            <v>0012-03033-01</v>
          </cell>
          <cell r="B2320" t="str">
            <v>SOFTIMAGE TOONZ STUDIO ver 4.3 for IRIX,MLP License Only, AE</v>
          </cell>
          <cell r="C2320">
            <v>1495</v>
          </cell>
        </row>
        <row r="2321">
          <cell r="A2321" t="str">
            <v>0010-03605-01</v>
          </cell>
          <cell r="B2321" t="str">
            <v>SI TOONZ Plug-in for SI 3D,WIN NT, Educational</v>
          </cell>
          <cell r="C2321">
            <v>300</v>
          </cell>
        </row>
        <row r="2322">
          <cell r="A2322" t="str">
            <v>0010-03606-01</v>
          </cell>
          <cell r="B2322" t="str">
            <v>SI TOONZ Plug-in for SI 3D, IRIX, Educational</v>
          </cell>
          <cell r="C2322">
            <v>300</v>
          </cell>
        </row>
        <row r="2323">
          <cell r="A2323" t="str">
            <v>0508-03022-01</v>
          </cell>
          <cell r="B2323" t="str">
            <v>SOFTIMAGE LINETEST WIN NT v1.0, Educational</v>
          </cell>
          <cell r="C2323">
            <v>300</v>
          </cell>
        </row>
        <row r="2324">
          <cell r="A2324" t="str">
            <v>0508-03023-01</v>
          </cell>
          <cell r="B2324" t="str">
            <v>SOFTIMAGE LINETEST IRIX v1.0, Educational</v>
          </cell>
          <cell r="C2324">
            <v>300</v>
          </cell>
        </row>
        <row r="2325">
          <cell r="A2325" t="str">
            <v>0060-03009-01</v>
          </cell>
          <cell r="B2325" t="str">
            <v>UI, Additional Dongle LINETEST</v>
          </cell>
          <cell r="C2325">
            <v>100</v>
          </cell>
        </row>
        <row r="2326">
          <cell r="A2326" t="str">
            <v>0540-00759-01</v>
          </cell>
          <cell r="B2326" t="str">
            <v xml:space="preserve">MNT,SI TOONZ FULL WIN NT, Educational*** </v>
          </cell>
          <cell r="C2326">
            <v>295</v>
          </cell>
        </row>
        <row r="2327">
          <cell r="A2327" t="str">
            <v>0540-00766-01</v>
          </cell>
          <cell r="B2327" t="str">
            <v>MNT,SI TOONZ FULL IRIX, Educational***</v>
          </cell>
          <cell r="C2327">
            <v>295</v>
          </cell>
        </row>
        <row r="2328">
          <cell r="A2328" t="str">
            <v xml:space="preserve">0100-00455-02 </v>
          </cell>
          <cell r="B2328" t="str">
            <v>Illusion for O2</v>
          </cell>
          <cell r="C2328">
            <v>24800</v>
          </cell>
        </row>
        <row r="2329">
          <cell r="A2329" t="str">
            <v>0540-00076-02</v>
          </cell>
          <cell r="B2329" t="str">
            <v>Maintenance Illusion for O2</v>
          </cell>
          <cell r="C2329">
            <v>2730</v>
          </cell>
        </row>
        <row r="2330">
          <cell r="A2330" t="str">
            <v>0100-00827-02</v>
          </cell>
          <cell r="B2330" t="str">
            <v>Illusion for Octane</v>
          </cell>
          <cell r="C2330">
            <v>31000</v>
          </cell>
        </row>
        <row r="2331">
          <cell r="A2331" t="str">
            <v>0540-00478-02</v>
          </cell>
          <cell r="B2331" t="str">
            <v>Maintenance Illusion for Octane</v>
          </cell>
          <cell r="C2331">
            <v>3410</v>
          </cell>
        </row>
        <row r="2332">
          <cell r="A2332" t="str">
            <v>0100-00496-01</v>
          </cell>
          <cell r="B2332" t="str">
            <v>Illusion Ultimatte Keyer</v>
          </cell>
          <cell r="C2332">
            <v>10000</v>
          </cell>
        </row>
        <row r="2333">
          <cell r="A2333" t="str">
            <v>0540-00484-01</v>
          </cell>
          <cell r="B2333" t="str">
            <v>Maintenance Ultimatte Keyer</v>
          </cell>
          <cell r="C2333">
            <v>1100</v>
          </cell>
        </row>
        <row r="2334">
          <cell r="A2334" t="str">
            <v>0100-00833-01</v>
          </cell>
          <cell r="B2334" t="str">
            <v>Illusion Primatte Keyer</v>
          </cell>
          <cell r="C2334">
            <v>7000</v>
          </cell>
        </row>
        <row r="2335">
          <cell r="A2335" t="str">
            <v>0540-00485-01</v>
          </cell>
          <cell r="B2335" t="str">
            <v>Maintenance Primatte Keyer</v>
          </cell>
          <cell r="C2335">
            <v>770</v>
          </cell>
        </row>
        <row r="2336">
          <cell r="A2336" t="str">
            <v>0100-00852-01</v>
          </cell>
          <cell r="B2336" t="str">
            <v>TinderTool UFOs</v>
          </cell>
          <cell r="C2336">
            <v>3500</v>
          </cell>
        </row>
        <row r="2337">
          <cell r="A2337" t="str">
            <v>0540-00486-01</v>
          </cell>
          <cell r="B2337" t="str">
            <v>Maintenance TinderTool UFO's</v>
          </cell>
          <cell r="C2337">
            <v>390</v>
          </cell>
        </row>
        <row r="2338">
          <cell r="A2338" t="str">
            <v>0100-00693-01</v>
          </cell>
          <cell r="B2338" t="str">
            <v>Illusion Background Renderer (standalone) for O2</v>
          </cell>
          <cell r="C2338">
            <v>4800</v>
          </cell>
        </row>
        <row r="2339">
          <cell r="A2339" t="str">
            <v>0540-00339-01</v>
          </cell>
          <cell r="B2339" t="str">
            <v>Maintenance Background Renderer (standalone) for O2</v>
          </cell>
          <cell r="C2339">
            <v>530</v>
          </cell>
        </row>
        <row r="2340">
          <cell r="A2340" t="str">
            <v>0100-00654-01</v>
          </cell>
          <cell r="B2340" t="str">
            <v>Illusion Background Renderer (standalone) for Octane</v>
          </cell>
          <cell r="C2340">
            <v>6000</v>
          </cell>
        </row>
        <row r="2341">
          <cell r="A2341" t="str">
            <v>0540-00339-02</v>
          </cell>
          <cell r="B2341" t="str">
            <v>Maintenance Background Renderer (standalone) for Octane</v>
          </cell>
          <cell r="C2341">
            <v>660</v>
          </cell>
        </row>
        <row r="2342">
          <cell r="A2342" t="str">
            <v>0550-00021-01</v>
          </cell>
          <cell r="B2342" t="str">
            <v>Introduction to Media Illusion Training (142)</v>
          </cell>
          <cell r="C2342">
            <v>1500</v>
          </cell>
        </row>
        <row r="2343">
          <cell r="A2343" t="str">
            <v>0010-00920-01</v>
          </cell>
          <cell r="B2343" t="str">
            <v>Illusion Documentation Set</v>
          </cell>
          <cell r="C2343">
            <v>250</v>
          </cell>
        </row>
        <row r="2344">
          <cell r="A2344" t="str">
            <v>0100-00469-02</v>
          </cell>
          <cell r="B2344" t="str">
            <v>Matador Paint for O2</v>
          </cell>
          <cell r="C2344">
            <v>10000</v>
          </cell>
        </row>
        <row r="2345">
          <cell r="A2345" t="str">
            <v>0540-00083-02</v>
          </cell>
          <cell r="B2345" t="str">
            <v>Maintenance Matador Paint O2</v>
          </cell>
          <cell r="C2345">
            <v>1100</v>
          </cell>
        </row>
        <row r="2346">
          <cell r="A2346" t="str">
            <v>0100-00646-02</v>
          </cell>
          <cell r="B2346" t="str">
            <v>Matador Paint for Octane</v>
          </cell>
          <cell r="C2346">
            <v>12500</v>
          </cell>
        </row>
        <row r="2347">
          <cell r="A2347" t="str">
            <v>0540-00329-02</v>
          </cell>
          <cell r="B2347" t="str">
            <v>Maintenance Matador Paint for Octane</v>
          </cell>
          <cell r="C2347">
            <v>1380</v>
          </cell>
        </row>
        <row r="2348">
          <cell r="A2348" t="str">
            <v>0100-00467-02</v>
          </cell>
          <cell r="B2348" t="str">
            <v>Matador Animate for O2</v>
          </cell>
          <cell r="C2348">
            <v>14000</v>
          </cell>
        </row>
        <row r="2349">
          <cell r="A2349" t="str">
            <v>0540-00081-02</v>
          </cell>
          <cell r="B2349" t="str">
            <v>Maintenance Matador Animate for O2</v>
          </cell>
          <cell r="C2349">
            <v>1540</v>
          </cell>
        </row>
        <row r="2350">
          <cell r="A2350" t="str">
            <v>0100-00647-02</v>
          </cell>
          <cell r="B2350" t="str">
            <v>Matador Animate for Octane</v>
          </cell>
          <cell r="C2350">
            <v>17500</v>
          </cell>
        </row>
        <row r="2351">
          <cell r="A2351" t="str">
            <v>0540-00330-02</v>
          </cell>
          <cell r="B2351" t="str">
            <v>Maintenance Matador Animate for Octane</v>
          </cell>
          <cell r="C2351">
            <v>1930</v>
          </cell>
        </row>
        <row r="2352">
          <cell r="A2352" t="str">
            <v>0100-00648-02</v>
          </cell>
          <cell r="B2352" t="str">
            <v>Pantone</v>
          </cell>
          <cell r="C2352">
            <v>1400</v>
          </cell>
        </row>
        <row r="2353">
          <cell r="A2353" t="str">
            <v>0540-00331-02</v>
          </cell>
          <cell r="B2353" t="str">
            <v>Maintenance Pantone</v>
          </cell>
          <cell r="C2353">
            <v>150</v>
          </cell>
        </row>
        <row r="2354">
          <cell r="A2354" t="str">
            <v>0100-00650-02</v>
          </cell>
          <cell r="B2354" t="str">
            <v>64bit Color Depth</v>
          </cell>
          <cell r="C2354">
            <v>2500</v>
          </cell>
        </row>
        <row r="2355">
          <cell r="A2355" t="str">
            <v>0540-00333-02</v>
          </cell>
          <cell r="B2355" t="str">
            <v>Maintenance 64bit Color Depth</v>
          </cell>
          <cell r="C2355">
            <v>280</v>
          </cell>
        </row>
        <row r="2356">
          <cell r="A2356" t="str">
            <v>0100-00820-02</v>
          </cell>
          <cell r="B2356" t="str">
            <v>Color Reduction</v>
          </cell>
          <cell r="C2356">
            <v>2500</v>
          </cell>
        </row>
        <row r="2357">
          <cell r="A2357" t="str">
            <v>0540-00476-02</v>
          </cell>
          <cell r="B2357" t="str">
            <v>Maintenance Color Reduction</v>
          </cell>
          <cell r="C2357">
            <v>280</v>
          </cell>
        </row>
        <row r="2358">
          <cell r="A2358" t="str">
            <v>0100-00849-02</v>
          </cell>
          <cell r="B2358" t="str">
            <v>Matador Background Renderer (standalone) for O2</v>
          </cell>
          <cell r="C2358">
            <v>4800</v>
          </cell>
        </row>
        <row r="2359">
          <cell r="A2359" t="str">
            <v>0540-00482-02</v>
          </cell>
          <cell r="B2359" t="str">
            <v>Maintenance Background Renderer  for Octane</v>
          </cell>
          <cell r="C2359">
            <v>530</v>
          </cell>
        </row>
        <row r="2360">
          <cell r="A2360" t="str">
            <v>0100-00850-02</v>
          </cell>
          <cell r="B2360" t="str">
            <v>Matador Background Renderer (standalone) for Octane</v>
          </cell>
          <cell r="C2360">
            <v>6000</v>
          </cell>
        </row>
        <row r="2361">
          <cell r="A2361" t="str">
            <v>0540-00483-02</v>
          </cell>
          <cell r="B2361" t="str">
            <v>Maintenance Background Renderer for Octane</v>
          </cell>
          <cell r="C2361">
            <v>660</v>
          </cell>
        </row>
        <row r="2362">
          <cell r="A2362" t="str">
            <v>0550-00020-01</v>
          </cell>
          <cell r="B2362" t="str">
            <v>Matador: Paint &amp; Animation Training (141)</v>
          </cell>
          <cell r="C2362">
            <v>1500</v>
          </cell>
        </row>
        <row r="2363">
          <cell r="A2363" t="str">
            <v>0010-00921-01</v>
          </cell>
          <cell r="B2363" t="str">
            <v>Matador Documentation Set</v>
          </cell>
          <cell r="C2363">
            <v>250</v>
          </cell>
        </row>
        <row r="2364">
          <cell r="A2364" t="str">
            <v>0100-00836-02</v>
          </cell>
          <cell r="B2364" t="str">
            <v>Illusion from O2 to Octane upgrade</v>
          </cell>
          <cell r="C2364">
            <v>7440</v>
          </cell>
        </row>
        <row r="2365">
          <cell r="A2365" t="str">
            <v>0100-00980-01</v>
          </cell>
          <cell r="B2365" t="str">
            <v>Illusion Background Renderer from O2 to Octane upgrade</v>
          </cell>
          <cell r="C2365">
            <v>1440</v>
          </cell>
        </row>
        <row r="2366">
          <cell r="A2366" t="str">
            <v>0100-00660-02</v>
          </cell>
          <cell r="B2366" t="str">
            <v>Matador Paint to Matador Animate upgrade on O2</v>
          </cell>
          <cell r="C2366">
            <v>4800</v>
          </cell>
        </row>
        <row r="2367">
          <cell r="A2367" t="str">
            <v>0100-00661-02</v>
          </cell>
          <cell r="B2367" t="str">
            <v>Matador Paint to Matador Animate upgrade on Octane</v>
          </cell>
          <cell r="C2367">
            <v>6000</v>
          </cell>
        </row>
        <row r="2368">
          <cell r="A2368" t="str">
            <v>0100-00669-02</v>
          </cell>
          <cell r="B2368" t="str">
            <v>Matador Paint from O2 to Octane upgrade</v>
          </cell>
          <cell r="C2368">
            <v>3000</v>
          </cell>
        </row>
        <row r="2369">
          <cell r="A2369" t="str">
            <v>0100-00670-02</v>
          </cell>
          <cell r="B2369" t="str">
            <v>Matador Animate from O2 to Octane upgrade</v>
          </cell>
          <cell r="C2369">
            <v>4200</v>
          </cell>
        </row>
        <row r="2370">
          <cell r="A2370" t="str">
            <v>0100-00981-01</v>
          </cell>
          <cell r="B2370" t="str">
            <v>Matador Background Renderer from O2 to Octane upgrade</v>
          </cell>
          <cell r="C2370">
            <v>1400</v>
          </cell>
        </row>
        <row r="2371">
          <cell r="A2371" t="str">
            <v>0505-00001-01</v>
          </cell>
          <cell r="B2371" t="str">
            <v>Elastic Reality V3.1 for Windows</v>
          </cell>
          <cell r="C2371">
            <v>1299</v>
          </cell>
        </row>
        <row r="2372">
          <cell r="A2372" t="str">
            <v>0505-00001-03</v>
          </cell>
          <cell r="B2372" t="str">
            <v>Elastic Reality 3.1 for Windows, Edit Bundle</v>
          </cell>
          <cell r="C2372">
            <v>999</v>
          </cell>
        </row>
        <row r="2373">
          <cell r="A2373" t="str">
            <v>0510-00412-01</v>
          </cell>
          <cell r="B2373" t="str">
            <v>Elastic Reality 3.1 for Windows, Upgrade</v>
          </cell>
          <cell r="C2373">
            <v>699</v>
          </cell>
        </row>
        <row r="2374">
          <cell r="A2374" t="str">
            <v>0510-00414-01</v>
          </cell>
          <cell r="B2374" t="str">
            <v>Elastic Reality 3.0 to 3.1 for Windows, Upgrade</v>
          </cell>
          <cell r="C2374">
            <v>99</v>
          </cell>
        </row>
        <row r="2375">
          <cell r="A2375" t="str">
            <v>0505-00002-01</v>
          </cell>
          <cell r="B2375" t="str">
            <v>Elastic Reality V3.1 for MAC</v>
          </cell>
          <cell r="C2375">
            <v>1299</v>
          </cell>
        </row>
        <row r="2376">
          <cell r="A2376" t="str">
            <v>0505-00002-03</v>
          </cell>
          <cell r="B2376" t="str">
            <v>Elastic Reality 3.1 for MAC, Edit Bundle</v>
          </cell>
          <cell r="C2376">
            <v>999</v>
          </cell>
        </row>
        <row r="2377">
          <cell r="A2377" t="str">
            <v>0510-00413-01</v>
          </cell>
          <cell r="B2377" t="str">
            <v>Elastic Reality 3.1 for MAC, Upgrade</v>
          </cell>
          <cell r="C2377">
            <v>699</v>
          </cell>
        </row>
        <row r="2378">
          <cell r="A2378" t="str">
            <v>0510-00415-01</v>
          </cell>
          <cell r="B2378" t="str">
            <v>Elastic Reality 3.0 to 3.1 for MAC, Upgrade</v>
          </cell>
          <cell r="C2378">
            <v>99</v>
          </cell>
        </row>
        <row r="2379">
          <cell r="A2379" t="str">
            <v>0540-00344-01</v>
          </cell>
          <cell r="B2379" t="str">
            <v>Maintenance Elastic Reality SGI for any CPU</v>
          </cell>
          <cell r="C2379">
            <v>500</v>
          </cell>
        </row>
        <row r="2380">
          <cell r="A2380" t="str">
            <v>0100-00710-01</v>
          </cell>
          <cell r="B2380" t="str">
            <v>Elastic Reality SGI for any CPU</v>
          </cell>
          <cell r="C2380">
            <v>4500</v>
          </cell>
        </row>
        <row r="2381">
          <cell r="A2381" t="str">
            <v>0010-00693-01</v>
          </cell>
          <cell r="B2381" t="str">
            <v>Kit, Elastic Reality V 3.1 Mac Doc, Online</v>
          </cell>
          <cell r="C2381">
            <v>200</v>
          </cell>
        </row>
        <row r="2382">
          <cell r="A2382" t="str">
            <v>0010-00692-01</v>
          </cell>
          <cell r="B2382" t="str">
            <v>Kit, Elastic Reality V 3.1 Windows Doc, Online</v>
          </cell>
          <cell r="C2382">
            <v>200</v>
          </cell>
        </row>
        <row r="2383">
          <cell r="A2383" t="str">
            <v>0505-00017-01</v>
          </cell>
          <cell r="B2383" t="str">
            <v>PRD,  Marquee v1 Windows Retail</v>
          </cell>
          <cell r="C2383">
            <v>3995</v>
          </cell>
        </row>
        <row r="2384">
          <cell r="A2384" t="str">
            <v>0505-00019-01</v>
          </cell>
          <cell r="B2384" t="str">
            <v>PRD,  Marquee v1 SGI Retail</v>
          </cell>
          <cell r="C2384">
            <v>3995</v>
          </cell>
        </row>
        <row r="2385">
          <cell r="A2385" t="str">
            <v>0540-00806-01</v>
          </cell>
          <cell r="B2385" t="str">
            <v>Maintenance, Marquee v1, any platform</v>
          </cell>
          <cell r="C2385">
            <v>795</v>
          </cell>
        </row>
        <row r="2386">
          <cell r="A2386" t="str">
            <v>0010-00857-02</v>
          </cell>
          <cell r="B2386" t="str">
            <v>TransJammer AVX</v>
          </cell>
          <cell r="C2386">
            <v>199</v>
          </cell>
        </row>
        <row r="2387">
          <cell r="A2387" t="str">
            <v>0010-00858-02</v>
          </cell>
          <cell r="B2387" t="str">
            <v>TransJammer AVX (5 Pack)</v>
          </cell>
          <cell r="C2387">
            <v>995</v>
          </cell>
        </row>
        <row r="2388">
          <cell r="A2388" t="str">
            <v>0010-00859-02</v>
          </cell>
          <cell r="B2388" t="str">
            <v>TransJammer AVX (10 Pack)</v>
          </cell>
          <cell r="C2388">
            <v>1990</v>
          </cell>
        </row>
        <row r="2389">
          <cell r="A2389" t="str">
            <v>0100-00445-01</v>
          </cell>
          <cell r="B2389" t="str">
            <v xml:space="preserve">LFX for any CPU </v>
          </cell>
          <cell r="C2389">
            <v>2500</v>
          </cell>
        </row>
        <row r="2390">
          <cell r="A2390" t="str">
            <v>0540-00351-01</v>
          </cell>
          <cell r="B2390" t="str">
            <v xml:space="preserve">Maintenance LFX for any CPU, </v>
          </cell>
          <cell r="C2390">
            <v>280</v>
          </cell>
        </row>
        <row r="2391">
          <cell r="A2391" t="str">
            <v>0100-00711-01</v>
          </cell>
          <cell r="B2391" t="str">
            <v>Image Independence for any CPU</v>
          </cell>
          <cell r="C2391">
            <v>500</v>
          </cell>
        </row>
        <row r="2392">
          <cell r="A2392" t="str">
            <v>0540-00349-01</v>
          </cell>
          <cell r="B2392" t="str">
            <v>Maintenance Image Independence Single User</v>
          </cell>
          <cell r="C2392">
            <v>60</v>
          </cell>
        </row>
        <row r="2393">
          <cell r="A2393" t="str">
            <v>0100-00712-01</v>
          </cell>
          <cell r="B2393" t="str">
            <v>Image Independence Server</v>
          </cell>
          <cell r="C2393">
            <v>2500</v>
          </cell>
        </row>
        <row r="2394">
          <cell r="A2394" t="str">
            <v>0540-00350-01</v>
          </cell>
          <cell r="B2394" t="str">
            <v>Maintenance Image Independence Server</v>
          </cell>
          <cell r="C2394">
            <v>280</v>
          </cell>
        </row>
        <row r="2395">
          <cell r="A2395" t="str">
            <v>0100-00311-01</v>
          </cell>
          <cell r="B2395" t="str">
            <v>Abekas Driver for any CPU</v>
          </cell>
          <cell r="C2395">
            <v>1000</v>
          </cell>
        </row>
        <row r="2396">
          <cell r="A2396" t="str">
            <v>0540-00352-01</v>
          </cell>
          <cell r="B2396" t="str">
            <v>Abekas Driver for any CPU</v>
          </cell>
          <cell r="C2396">
            <v>110</v>
          </cell>
        </row>
        <row r="2397">
          <cell r="A2397" t="str">
            <v>0020-00475-01</v>
          </cell>
          <cell r="B2397" t="str">
            <v>iS9 Pro MediaDrive for SGI systems</v>
          </cell>
          <cell r="C2397">
            <v>1345</v>
          </cell>
        </row>
        <row r="2398">
          <cell r="A2398" t="str">
            <v>0020-00476-01</v>
          </cell>
          <cell r="B2398" t="str">
            <v>iS18 Pro MediaDrive for SGI systems</v>
          </cell>
          <cell r="C2398">
            <v>2115</v>
          </cell>
        </row>
        <row r="2399">
          <cell r="A2399" t="str">
            <v>0500-01737-01</v>
          </cell>
          <cell r="B2399" t="str">
            <v>Avid Effects Reseller Demo Bundle</v>
          </cell>
          <cell r="C2399" t="str">
            <v>-</v>
          </cell>
        </row>
        <row r="2400">
          <cell r="A2400" t="str">
            <v>0010-00654-01</v>
          </cell>
          <cell r="B2400" t="str">
            <v>Illusion Eval Kit: doc set &amp; CD-ROM</v>
          </cell>
          <cell r="C2400" t="str">
            <v>-</v>
          </cell>
        </row>
        <row r="2401">
          <cell r="A2401" t="str">
            <v>0010-00655-01</v>
          </cell>
          <cell r="B2401" t="str">
            <v>Matador Eval Kit : doc set &amp; CD-ROM</v>
          </cell>
          <cell r="C2401" t="str">
            <v>-</v>
          </cell>
        </row>
        <row r="2402">
          <cell r="A2402" t="str">
            <v>0505-00001-02</v>
          </cell>
          <cell r="B2402" t="str">
            <v>Elastic Reality 3.1 for Windows, demo only, not for resale</v>
          </cell>
          <cell r="C2402" t="str">
            <v>-</v>
          </cell>
        </row>
        <row r="2403">
          <cell r="A2403" t="str">
            <v>0505-00002-02</v>
          </cell>
          <cell r="B2403" t="str">
            <v>Elastic Reality 3.1 for MAC, demo only, not for resale</v>
          </cell>
          <cell r="C2403" t="str">
            <v>-</v>
          </cell>
        </row>
        <row r="2404">
          <cell r="A2404" t="str">
            <v>0505-00018-01</v>
          </cell>
          <cell r="B2404" t="str">
            <v>PRD,  Marquee v1 Windows, not for resale</v>
          </cell>
          <cell r="C2404" t="str">
            <v>-</v>
          </cell>
        </row>
        <row r="2405">
          <cell r="A2405" t="str">
            <v>0505-00020-01</v>
          </cell>
          <cell r="B2405" t="str">
            <v>PRD,  Marquee v1 SGI, not for resale</v>
          </cell>
          <cell r="C2405" t="str">
            <v>-</v>
          </cell>
        </row>
        <row r="2406">
          <cell r="A2406" t="str">
            <v>0500-03053-03</v>
          </cell>
          <cell r="B2406" t="str">
            <v>System Identifer, Symphony 2.0</v>
          </cell>
          <cell r="C2406">
            <v>0</v>
          </cell>
        </row>
        <row r="2407">
          <cell r="A2407" t="str">
            <v>0500-03054-03</v>
          </cell>
          <cell r="B2407" t="str">
            <v>System Identifer, Symphony Universal</v>
          </cell>
          <cell r="C2407">
            <v>0</v>
          </cell>
        </row>
        <row r="2408">
          <cell r="A2408" t="str">
            <v>0010-03513-01</v>
          </cell>
          <cell r="B2408" t="str">
            <v>Kit, Symphony 2.0 System w/CPU &amp; FC Adaptor</v>
          </cell>
          <cell r="C2408">
            <v>130300</v>
          </cell>
        </row>
        <row r="2409">
          <cell r="A2409" t="str">
            <v>0010-03514-01</v>
          </cell>
          <cell r="B2409" t="str">
            <v>Kit, Symphony 2.0 System w/CPU &amp; LVD Dual Adaptor</v>
          </cell>
          <cell r="C2409">
            <v>130300</v>
          </cell>
        </row>
        <row r="2410">
          <cell r="A2410" t="str">
            <v>0010-03515-01</v>
          </cell>
          <cell r="B2410" t="str">
            <v>Kit, Symphony Univ System w/CPU &amp; FC Adaptor</v>
          </cell>
          <cell r="C2410">
            <v>155300</v>
          </cell>
        </row>
        <row r="2411">
          <cell r="A2411" t="str">
            <v>0010-03516-01</v>
          </cell>
          <cell r="B2411" t="str">
            <v>Kit, Symphony Univ System w/CPU &amp; LVD Dual Adaptor</v>
          </cell>
          <cell r="C2411">
            <v>155300</v>
          </cell>
        </row>
        <row r="2412">
          <cell r="A2412" t="str">
            <v>0060-00065-10</v>
          </cell>
          <cell r="B2412" t="str">
            <v>Symphony Keyboard-US English</v>
          </cell>
          <cell r="C2412">
            <v>100</v>
          </cell>
        </row>
        <row r="2413">
          <cell r="A2413" t="str">
            <v>0550-00216-01</v>
          </cell>
          <cell r="B2413" t="str">
            <v>Finishing on Composer &amp; Symphony (210)</v>
          </cell>
          <cell r="C2413">
            <v>650</v>
          </cell>
        </row>
        <row r="2414">
          <cell r="A2414" t="str">
            <v>0560-03113-01</v>
          </cell>
          <cell r="B2414" t="str">
            <v>Upgrade - Symphony 1.x to Symphony 2.0</v>
          </cell>
          <cell r="C2414">
            <v>10000</v>
          </cell>
        </row>
        <row r="2415">
          <cell r="A2415" t="str">
            <v>0560-03114-01</v>
          </cell>
          <cell r="B2415" t="str">
            <v>Upgrade - Symphony 1.x to Symphony Universal 2.0</v>
          </cell>
          <cell r="C2415">
            <v>25000</v>
          </cell>
        </row>
        <row r="2416">
          <cell r="A2416" t="str">
            <v>0500-03054-02</v>
          </cell>
          <cell r="B2416" t="str">
            <v>Avid Symphony Universal Demo System****</v>
          </cell>
          <cell r="C2416" t="str">
            <v>x</v>
          </cell>
        </row>
        <row r="2417">
          <cell r="A2417" t="str">
            <v>0505-03017-01</v>
          </cell>
          <cell r="B2417" t="str">
            <v>Symphony Reseller Demo Conversion</v>
          </cell>
          <cell r="C2417" t="str">
            <v>x</v>
          </cell>
        </row>
        <row r="2418">
          <cell r="A2418" t="str">
            <v>0010-00900-01</v>
          </cell>
          <cell r="B2418" t="e">
            <v>#VALUE!</v>
          </cell>
          <cell r="C2418">
            <v>2495</v>
          </cell>
        </row>
        <row r="2419">
          <cell r="A2419" t="e">
            <v>#VALUE!</v>
          </cell>
          <cell r="B2419" t="str">
            <v>Doc, MCXpress WNT Tutorial/Ref. Guide 1.6</v>
          </cell>
          <cell r="C2419">
            <v>25</v>
          </cell>
        </row>
        <row r="2420">
          <cell r="A2420" t="str">
            <v>0010-00692-01</v>
          </cell>
          <cell r="B2420" t="str">
            <v>Kit, Elastic Reality V 3.1 Windows Doc</v>
          </cell>
          <cell r="C2420">
            <v>200</v>
          </cell>
        </row>
        <row r="2421">
          <cell r="A2421" t="str">
            <v>0010-00693-01</v>
          </cell>
          <cell r="B2421" t="str">
            <v>Kit, Elastic Reality V 3.1 Mac Doc</v>
          </cell>
          <cell r="C2421">
            <v>200</v>
          </cell>
        </row>
        <row r="2422">
          <cell r="A2422" t="e">
            <v>#VALUE!</v>
          </cell>
          <cell r="B2422" t="str">
            <v>Upgrade from MCX-NT v 1.x to v 1.6</v>
          </cell>
          <cell r="C2422">
            <v>199</v>
          </cell>
        </row>
        <row r="2423">
          <cell r="A2423" t="str">
            <v>0500-01736-03</v>
          </cell>
          <cell r="B2423" t="e">
            <v>#VALUE!</v>
          </cell>
          <cell r="C2423" t="str">
            <v>-</v>
          </cell>
        </row>
        <row r="2424">
          <cell r="A2424" t="str">
            <v>0010-03596-01</v>
          </cell>
          <cell r="B2424" t="str">
            <v>MediaLog For NT</v>
          </cell>
          <cell r="C2424">
            <v>250</v>
          </cell>
        </row>
        <row r="2425">
          <cell r="A2425" t="str">
            <v>0070-00506-01</v>
          </cell>
          <cell r="B2425" t="str">
            <v>VTR Emulation Cable for NT</v>
          </cell>
          <cell r="C2425">
            <v>100</v>
          </cell>
        </row>
        <row r="2449">
          <cell r="B2449" t="str">
            <v>MNT, Assurance DS Single Stream</v>
          </cell>
          <cell r="C2449">
            <v>4300</v>
          </cell>
          <cell r="D2449">
            <v>3200</v>
          </cell>
          <cell r="E2449">
            <v>3900</v>
          </cell>
          <cell r="F2449">
            <v>25800</v>
          </cell>
          <cell r="G2449">
            <v>7700</v>
          </cell>
          <cell r="H2449">
            <v>2700</v>
          </cell>
          <cell r="I2449">
            <v>7600000</v>
          </cell>
          <cell r="J2449">
            <v>660000</v>
          </cell>
        </row>
        <row r="2450">
          <cell r="B2450" t="str">
            <v>MNT, Assurance DS Dual Stream</v>
          </cell>
          <cell r="C2450">
            <v>5775</v>
          </cell>
          <cell r="D2450">
            <v>4300</v>
          </cell>
          <cell r="E2450">
            <v>5300</v>
          </cell>
          <cell r="F2450">
            <v>34700</v>
          </cell>
          <cell r="G2450">
            <v>10300</v>
          </cell>
          <cell r="H2450">
            <v>3700</v>
          </cell>
          <cell r="I2450">
            <v>10200000</v>
          </cell>
          <cell r="J2450">
            <v>880000</v>
          </cell>
        </row>
        <row r="2451">
          <cell r="A2451" t="str">
            <v>0560-03054-01</v>
          </cell>
          <cell r="B2451" t="str">
            <v>Media 100 to Deluxe</v>
          </cell>
        </row>
        <row r="2452">
          <cell r="A2452" t="str">
            <v>0560-03054-02</v>
          </cell>
          <cell r="B2452" t="str">
            <v>Media 100 to Elite</v>
          </cell>
        </row>
        <row r="2453">
          <cell r="A2453" t="str">
            <v>0560-03056-01</v>
          </cell>
          <cell r="B2453" t="str">
            <v>Scitex / ImMix to Deluxe</v>
          </cell>
        </row>
        <row r="2454">
          <cell r="A2454" t="str">
            <v>0560-03056-02</v>
          </cell>
          <cell r="B2454" t="str">
            <v>Scitex / ImMix to Elite</v>
          </cell>
        </row>
        <row r="2455">
          <cell r="A2455" t="str">
            <v>0560-03055-01</v>
          </cell>
          <cell r="B2455" t="str">
            <v>D-Vision/Discreet to Deluxe</v>
          </cell>
        </row>
        <row r="2456">
          <cell r="A2456" t="str">
            <v>0560-03055-02</v>
          </cell>
          <cell r="B2456" t="str">
            <v>D-Vision/Discreet to Elite</v>
          </cell>
        </row>
        <row r="2457">
          <cell r="A2457" t="str">
            <v>0560-03058-01</v>
          </cell>
          <cell r="B2457" t="str">
            <v>Fast to Deluxe</v>
          </cell>
        </row>
        <row r="2458">
          <cell r="A2458" t="str">
            <v>0560-03058-02</v>
          </cell>
          <cell r="B2458" t="str">
            <v>Fast to Elite</v>
          </cell>
        </row>
        <row r="2459">
          <cell r="A2459" t="str">
            <v>0555-03005-01</v>
          </cell>
          <cell r="B2459" t="str">
            <v>INV,Vincent PCI video card</v>
          </cell>
        </row>
        <row r="2460">
          <cell r="A2460" t="str">
            <v xml:space="preserve">0555-03006-01 </v>
          </cell>
          <cell r="B2460" t="str">
            <v>INV,Media 100 Dongle</v>
          </cell>
        </row>
        <row r="2461">
          <cell r="A2461" t="str">
            <v>0555-03007-01</v>
          </cell>
          <cell r="B2461" t="str">
            <v>INV,Media 100 Nubus video card</v>
          </cell>
        </row>
        <row r="2462">
          <cell r="A2462" t="str">
            <v>0555-03008-01</v>
          </cell>
          <cell r="B2462" t="str">
            <v>INV,Media 1000 NuBus Dongle</v>
          </cell>
        </row>
        <row r="2463">
          <cell r="A2463" t="str">
            <v>0555-03009-01</v>
          </cell>
          <cell r="B2463" t="str">
            <v>INV,Scitex NuBus host adapter card</v>
          </cell>
        </row>
        <row r="2464">
          <cell r="A2464" t="str">
            <v>0555-03010-01</v>
          </cell>
          <cell r="B2464" t="str">
            <v>INV,Scitex PCI video card</v>
          </cell>
        </row>
        <row r="2465">
          <cell r="A2465" t="str">
            <v>0555-03011-01</v>
          </cell>
          <cell r="B2465" t="str">
            <v>INV,Scitex Dongle</v>
          </cell>
        </row>
        <row r="2466">
          <cell r="A2466" t="str">
            <v>0555-03016-01</v>
          </cell>
          <cell r="B2466" t="str">
            <v>INV,Matrox or Truevision PCI video card</v>
          </cell>
        </row>
        <row r="2467">
          <cell r="A2467" t="str">
            <v>0555-03017-01</v>
          </cell>
          <cell r="B2467" t="str">
            <v>INV,D-Vision/Discreet dongle</v>
          </cell>
        </row>
        <row r="2468">
          <cell r="A2468" t="str">
            <v>0555-03018-01</v>
          </cell>
          <cell r="B2468" t="str">
            <v>INV, FAST PCI video board</v>
          </cell>
        </row>
        <row r="2469">
          <cell r="A2469" t="str">
            <v>0555-03019-01</v>
          </cell>
          <cell r="B2469" t="str">
            <v>INV, FAST dongle</v>
          </cell>
        </row>
        <row r="2470">
          <cell r="A2470" t="str">
            <v>0555-03061-01</v>
          </cell>
          <cell r="B2470" t="str">
            <v>INV,RO, Dongle, Xpress Base ABVB</v>
          </cell>
        </row>
        <row r="2471">
          <cell r="A2471" t="str">
            <v>0555-03062-01</v>
          </cell>
          <cell r="B2471" t="str">
            <v>INV,RO, Dongle, Xpress Plus ABVB</v>
          </cell>
        </row>
        <row r="2472">
          <cell r="A2472" t="str">
            <v>0555-03063-01</v>
          </cell>
          <cell r="B2472" t="str">
            <v>INV,RO, Dongle, Xpress Deluxe ABVB</v>
          </cell>
        </row>
        <row r="2473">
          <cell r="A2473" t="str">
            <v>0555-03064-01</v>
          </cell>
          <cell r="B2473" t="str">
            <v>INV,RO, Dongle, Xpress Elite ABVB</v>
          </cell>
        </row>
        <row r="2474">
          <cell r="A2474" t="str">
            <v>0555-00040-01</v>
          </cell>
          <cell r="B2474" t="str">
            <v>INV,RO, ABVB/PCI Video board, RO</v>
          </cell>
        </row>
        <row r="2475">
          <cell r="A2475" t="str">
            <v>0555-00041-01</v>
          </cell>
          <cell r="B2475" t="str">
            <v>INV,RO, PCI JPEG board, RO</v>
          </cell>
        </row>
        <row r="2476">
          <cell r="A2476" t="str">
            <v>0555-00042-01</v>
          </cell>
          <cell r="B2476" t="str">
            <v>INV,RO, ABVB/PCI 2-channel audio board, RO</v>
          </cell>
        </row>
        <row r="2477">
          <cell r="A2477" t="str">
            <v>0555-00045-01</v>
          </cell>
          <cell r="B2477" t="str">
            <v>INV,RO, PCI, 3D Effects Board, RO</v>
          </cell>
        </row>
        <row r="2478">
          <cell r="A2478" t="str">
            <v>0555-00046-01</v>
          </cell>
          <cell r="B2478" t="str">
            <v>INV,RO, PCI SCSI board, RO</v>
          </cell>
        </row>
        <row r="2479">
          <cell r="A2479" t="str">
            <v>0555-03022-01</v>
          </cell>
          <cell r="B2479" t="str">
            <v>RO, PCI Extender</v>
          </cell>
        </row>
        <row r="2480">
          <cell r="A2480" t="str">
            <v>0555-03069-01</v>
          </cell>
          <cell r="B2480" t="str">
            <v>INV,RO, Meridien 2-channel audio board, RO</v>
          </cell>
        </row>
      </sheetData>
      <sheetData sheetId="1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page "/>
      <sheetName val="Table of Contents"/>
      <sheetName val="Revision Summary"/>
      <sheetName val="How to ..."/>
      <sheetName val="Family Comparison"/>
      <sheetName val="Resolution Chart"/>
      <sheetName val="Industry Information"/>
      <sheetName val="MC1000 XL"/>
      <sheetName val="MC1000 XL NT Order Sheet"/>
      <sheetName val="MC1000 XL Mac Order Sheet"/>
      <sheetName val="MC1000 XL Mac Add-ons"/>
      <sheetName val="MC Offline XL"/>
      <sheetName val="MC Offline XL NT Order Sheet"/>
      <sheetName val="MC Offline XL Mac Order Sheet"/>
      <sheetName val="MC Offline XL Mac Add-ons"/>
      <sheetName val="MC Offline 7.1 ABVB"/>
      <sheetName val="MC Offline G3 Order Sheet"/>
      <sheetName val="MC Offline 9600 Order Sheet"/>
      <sheetName val="MC Offline  Add-ons"/>
      <sheetName val="Media Station 7.1 ABVB"/>
      <sheetName val="Media Station G3 Order Sheet"/>
      <sheetName val="Media Station 9600 Order Sheet"/>
      <sheetName val="Media Station Add-ons"/>
      <sheetName val="FilmComp 7.1 ABVB"/>
      <sheetName val="Film Composer G3 Order Sheet"/>
      <sheetName val="Film Composer 9600 Order Sheet"/>
      <sheetName val="Film Composer Add-ons Sheet"/>
      <sheetName val="MC1000 7.1 ABVB"/>
      <sheetName val="MC1000 G3 Order Sheet"/>
      <sheetName val="MC1000 9600 Order Sheet"/>
      <sheetName val="MC1000 Add-ons"/>
      <sheetName val="MC9000 7.1 ABVB"/>
      <sheetName val="MC9000 G3 Order Sheet"/>
      <sheetName val="MC9000 9600 Order Sheet"/>
      <sheetName val="MC9000 Add-ons"/>
      <sheetName val="Misc Ordering info"/>
      <sheetName val="Elastic Reality"/>
      <sheetName val="ER Mac-NT Ordering"/>
      <sheetName val="Avid Marquee"/>
      <sheetName val="Marquee Ordering"/>
      <sheetName val="Transjammer"/>
      <sheetName val="Trans Order"/>
      <sheetName val="MC and FC Notes"/>
      <sheetName val="MC and FC pricing "/>
      <sheetName val="Storage Price List"/>
      <sheetName val="MediaNet Price List"/>
      <sheetName val="Unity System Order Sheet"/>
      <sheetName val="Unity Demo Order Sheet"/>
      <sheetName val="Unity Trade Up Order Sheet"/>
      <sheetName val="Mnt Price List"/>
      <sheetName val="Ed Services Products"/>
      <sheetName val="IB Programs Cover Page"/>
      <sheetName val="Meridien TU Promo Cover"/>
      <sheetName val="Order inst. PCI-MeridienTUPromo"/>
      <sheetName val="MC900 PCI-MeridienTUPromo"/>
      <sheetName val="Offline PCI-MeridienTUPromo"/>
      <sheetName val="MC10002D PCI-MeridienTUPromo"/>
      <sheetName val="MC10003D PCI-MeridienTUPromo"/>
      <sheetName val="MC40002D PCI-MeridienTUPromo"/>
      <sheetName val="MC40003D PCI-MeridienTUPromo"/>
      <sheetName val="FilmComp PCI-MeridienTUProm "/>
      <sheetName val="MC80002D PCI-MeridienTUPromo"/>
      <sheetName val="MC80003D PCI-MeridienTUPromo"/>
      <sheetName val="MC9000 PCI-MeridienTUPromo"/>
      <sheetName val="HWTU Cover Page"/>
      <sheetName val="Configuration Directions"/>
      <sheetName val="Pricing Directions"/>
      <sheetName val="Trade-up Credits MSRP Q3-1999"/>
      <sheetName val="Reseller Credits Q3-1999"/>
      <sheetName val="MCOfflineXL NT TU Order Sheet"/>
      <sheetName val="MCOfflineXL Mac TU Order Sheet"/>
      <sheetName val="MC1000XL NT TU Order Sheet"/>
      <sheetName val="MC1000XL Mac TU Order Sheet"/>
      <sheetName val="SymphonyTU Order Sheet"/>
      <sheetName val="MC Offline Upgr Order Sheet G3"/>
      <sheetName val="MC Offline Upgr Add-ons"/>
      <sheetName val="FC Upgr Order Sheet G3"/>
      <sheetName val="FC Upgr Add-ons"/>
      <sheetName val="MC1000 Upgr Order Sheet G3"/>
      <sheetName val="MC 1000 Upgr Add-on's"/>
      <sheetName val="MC 9000 Upgr Order Sheet G3"/>
      <sheetName val="MC 9000 Upgr Add-on's"/>
      <sheetName val="MC Rel-SWMDL Upg Cover Page"/>
      <sheetName val="Misc Upgrades"/>
      <sheetName val="Comp TU Cover Page"/>
      <sheetName val="Trade-up instructions"/>
      <sheetName val="customer trade-in "/>
      <sheetName val="reseller trade-in"/>
      <sheetName val="Trade-in Pricing"/>
      <sheetName val="Trade-in Order Sheet"/>
      <sheetName val="Return Order Checklist"/>
      <sheetName val="Reseller Demos"/>
      <sheetName val="Master Parts and Descrip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3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2.emf"/><Relationship Id="rId4" Type="http://schemas.openxmlformats.org/officeDocument/2006/relationships/control" Target="../activeX/activeX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2:O46"/>
  <sheetViews>
    <sheetView tabSelected="1" view="pageBreakPreview" topLeftCell="A20" zoomScale="80" zoomScaleNormal="100" zoomScaleSheetLayoutView="80" workbookViewId="0">
      <selection activeCell="E42" sqref="E42"/>
    </sheetView>
  </sheetViews>
  <sheetFormatPr defaultColWidth="10.453125" defaultRowHeight="15.5"/>
  <cols>
    <col min="1" max="1" width="3.1796875" style="1" customWidth="1"/>
    <col min="2" max="2" width="6.81640625" style="1" customWidth="1"/>
    <col min="3" max="3" width="36.1796875" style="1" customWidth="1"/>
    <col min="4" max="4" width="10.81640625" style="1" customWidth="1"/>
    <col min="5" max="5" width="27.453125" style="1" customWidth="1"/>
    <col min="6" max="6" width="7.453125" style="1" customWidth="1"/>
    <col min="7" max="7" width="8.1796875" style="7" customWidth="1"/>
    <col min="8" max="9" width="13.81640625" style="7" customWidth="1"/>
    <col min="10" max="10" width="16.81640625" style="7" customWidth="1"/>
    <col min="11" max="11" width="3.1796875" style="7" customWidth="1"/>
    <col min="12" max="13" width="13.453125" style="265" bestFit="1" customWidth="1"/>
    <col min="14" max="14" width="13.453125" style="6" bestFit="1" customWidth="1"/>
    <col min="15" max="15" width="14" style="1" bestFit="1" customWidth="1"/>
    <col min="16" max="16384" width="10.453125" style="1"/>
  </cols>
  <sheetData>
    <row r="2" spans="2:15" ht="13.75" customHeight="1">
      <c r="C2" s="2"/>
      <c r="D2" s="2"/>
      <c r="E2" s="2"/>
      <c r="F2" s="3"/>
      <c r="G2" s="4"/>
      <c r="H2" s="4"/>
      <c r="I2" s="4"/>
      <c r="J2" s="5" t="s">
        <v>18</v>
      </c>
      <c r="K2" s="5"/>
    </row>
    <row r="3" spans="2:15" ht="13.75" customHeight="1">
      <c r="F3" s="3"/>
      <c r="G3" s="4"/>
    </row>
    <row r="4" spans="2:15" ht="13.75" customHeight="1">
      <c r="F4" s="3"/>
      <c r="G4" s="4"/>
      <c r="H4" s="4"/>
      <c r="I4" s="4"/>
    </row>
    <row r="5" spans="2:15" ht="13.75" customHeight="1">
      <c r="F5" s="3"/>
      <c r="G5" s="4"/>
      <c r="H5" s="4"/>
      <c r="I5" s="4"/>
    </row>
    <row r="6" spans="2:15" ht="13.75" customHeight="1">
      <c r="G6" s="264" t="s">
        <v>132</v>
      </c>
    </row>
    <row r="8" spans="2:15" s="8" customFormat="1" ht="14.5">
      <c r="H8" s="9"/>
      <c r="I8" s="9"/>
      <c r="J8" s="9"/>
      <c r="K8" s="9"/>
      <c r="L8" s="265"/>
      <c r="M8" s="265"/>
      <c r="N8" s="6"/>
    </row>
    <row r="9" spans="2:15" s="15" customFormat="1" ht="20.25" customHeight="1">
      <c r="B9" s="261" t="s">
        <v>138</v>
      </c>
      <c r="C9" s="262"/>
      <c r="D9" s="262"/>
      <c r="E9" s="262"/>
      <c r="F9" s="261" t="s">
        <v>137</v>
      </c>
      <c r="G9" s="320"/>
      <c r="H9" s="262"/>
      <c r="I9" s="262"/>
      <c r="J9" s="262"/>
      <c r="K9" s="263"/>
      <c r="L9" s="266"/>
      <c r="M9" s="266"/>
      <c r="N9" s="41"/>
    </row>
    <row r="10" spans="2:15" s="15" customFormat="1" ht="20.25" customHeight="1">
      <c r="B10" s="261" t="s">
        <v>136</v>
      </c>
      <c r="C10" s="263"/>
      <c r="D10" s="263"/>
      <c r="E10" s="263"/>
      <c r="F10" s="261" t="s">
        <v>136</v>
      </c>
      <c r="H10" s="262"/>
      <c r="I10" s="262"/>
      <c r="J10" s="262"/>
      <c r="K10" s="263"/>
      <c r="L10" s="266"/>
      <c r="M10" s="266"/>
      <c r="N10" s="41"/>
    </row>
    <row r="11" spans="2:15" s="15" customFormat="1" ht="20.25" customHeight="1">
      <c r="B11" s="261" t="s">
        <v>139</v>
      </c>
      <c r="C11" s="262"/>
      <c r="D11" s="262"/>
      <c r="E11" s="262"/>
      <c r="F11" s="261" t="s">
        <v>135</v>
      </c>
      <c r="H11" s="262"/>
      <c r="I11" s="262"/>
      <c r="J11" s="262"/>
      <c r="K11" s="263"/>
      <c r="L11" s="266"/>
      <c r="M11" s="266"/>
      <c r="N11" s="41"/>
    </row>
    <row r="12" spans="2:15" s="15" customFormat="1" ht="20.25" customHeight="1">
      <c r="B12" s="261" t="s">
        <v>140</v>
      </c>
      <c r="C12" s="261"/>
      <c r="D12" s="263"/>
      <c r="E12" s="263"/>
      <c r="F12" s="261" t="s">
        <v>134</v>
      </c>
      <c r="H12" s="262"/>
      <c r="I12" s="262"/>
      <c r="J12" s="262"/>
      <c r="K12" s="263"/>
      <c r="L12" s="266"/>
      <c r="M12" s="267"/>
      <c r="N12" s="41"/>
    </row>
    <row r="13" spans="2:15" ht="16.5" customHeight="1">
      <c r="B13" s="10" t="s">
        <v>0</v>
      </c>
      <c r="C13" s="10"/>
      <c r="D13" s="10"/>
      <c r="E13" s="10"/>
      <c r="F13" s="10"/>
      <c r="G13" s="10"/>
      <c r="H13" s="10"/>
      <c r="I13" s="10"/>
      <c r="J13" s="10"/>
      <c r="K13" s="10"/>
    </row>
    <row r="14" spans="2:15" ht="16.5" customHeight="1">
      <c r="B14" s="10"/>
      <c r="C14" s="10"/>
      <c r="D14" s="10"/>
      <c r="E14" s="10"/>
      <c r="F14" s="10"/>
      <c r="G14" s="10"/>
      <c r="H14" s="10"/>
      <c r="I14" s="10"/>
      <c r="J14" s="10"/>
      <c r="K14" s="10"/>
      <c r="O14" s="334" t="s">
        <v>133</v>
      </c>
    </row>
    <row r="15" spans="2:15">
      <c r="B15" s="335"/>
      <c r="C15" s="335"/>
      <c r="J15" s="7" t="s">
        <v>114</v>
      </c>
    </row>
    <row r="16" spans="2:15" s="12" customFormat="1" ht="18.75" customHeight="1">
      <c r="B16" s="324" t="s">
        <v>113</v>
      </c>
      <c r="C16" s="336" t="s">
        <v>19</v>
      </c>
      <c r="D16" s="337"/>
      <c r="E16" s="338"/>
      <c r="F16" s="13" t="s">
        <v>112</v>
      </c>
      <c r="G16" s="13" t="s">
        <v>111</v>
      </c>
      <c r="H16" s="13" t="s">
        <v>120</v>
      </c>
      <c r="I16" s="13" t="s">
        <v>121</v>
      </c>
      <c r="J16" s="13" t="s">
        <v>122</v>
      </c>
      <c r="K16" s="14"/>
      <c r="L16" s="268"/>
      <c r="M16" s="268"/>
      <c r="N16" s="38"/>
    </row>
    <row r="17" spans="2:14" s="276" customFormat="1" ht="286.5" customHeight="1">
      <c r="B17" s="333" t="s">
        <v>119</v>
      </c>
      <c r="C17" s="353"/>
      <c r="D17" s="354"/>
      <c r="E17" s="355"/>
      <c r="F17" s="274"/>
      <c r="G17" s="39"/>
      <c r="H17" s="275"/>
      <c r="I17" s="275"/>
      <c r="J17" s="275"/>
      <c r="K17" s="40"/>
      <c r="L17" s="277"/>
      <c r="M17" s="277"/>
      <c r="N17" s="278"/>
    </row>
    <row r="18" spans="2:14" s="276" customFormat="1" ht="18" customHeight="1">
      <c r="B18" s="279"/>
      <c r="C18" s="343" t="s">
        <v>117</v>
      </c>
      <c r="D18" s="344"/>
      <c r="E18" s="345"/>
      <c r="F18" s="274"/>
      <c r="G18" s="39"/>
      <c r="H18" s="275"/>
      <c r="I18" s="275"/>
      <c r="J18" s="275"/>
      <c r="K18" s="40"/>
      <c r="L18" s="277"/>
      <c r="M18" s="277"/>
      <c r="N18" s="278"/>
    </row>
    <row r="19" spans="2:14" s="276" customFormat="1" ht="18" customHeight="1">
      <c r="B19" s="329"/>
      <c r="C19" s="327"/>
      <c r="D19" s="327"/>
      <c r="E19" s="327"/>
      <c r="F19" s="328"/>
      <c r="G19" s="346" t="s">
        <v>126</v>
      </c>
      <c r="H19" s="347"/>
      <c r="I19" s="348"/>
      <c r="J19" s="42">
        <f>H17*F17</f>
        <v>0</v>
      </c>
      <c r="K19" s="40"/>
      <c r="L19" s="277"/>
      <c r="M19" s="277"/>
      <c r="N19" s="278"/>
    </row>
    <row r="20" spans="2:14" s="15" customFormat="1" ht="18" customHeight="1">
      <c r="B20" s="260"/>
      <c r="C20" s="260"/>
      <c r="D20" s="260"/>
      <c r="E20" s="260"/>
      <c r="F20" s="260"/>
      <c r="G20" s="346" t="s">
        <v>123</v>
      </c>
      <c r="H20" s="347"/>
      <c r="I20" s="348"/>
      <c r="J20" s="42">
        <f>SUM(J17:J18)</f>
        <v>0</v>
      </c>
      <c r="K20" s="43"/>
      <c r="L20" s="266"/>
      <c r="M20" s="266"/>
      <c r="N20" s="41"/>
    </row>
    <row r="21" spans="2:14" s="15" customFormat="1" ht="18" hidden="1" customHeight="1">
      <c r="G21" s="349" t="s">
        <v>110</v>
      </c>
      <c r="H21" s="350" t="s">
        <v>110</v>
      </c>
      <c r="I21" s="330"/>
      <c r="J21" s="273"/>
      <c r="K21" s="43"/>
      <c r="L21" s="266"/>
      <c r="M21" s="266"/>
      <c r="N21" s="41"/>
    </row>
    <row r="22" spans="2:14" s="15" customFormat="1" ht="16.25" customHeight="1">
      <c r="E22" s="325"/>
      <c r="G22" s="346" t="s">
        <v>115</v>
      </c>
      <c r="H22" s="347" t="s">
        <v>116</v>
      </c>
      <c r="I22" s="348"/>
      <c r="J22" s="313">
        <f>J20*0.05</f>
        <v>0</v>
      </c>
      <c r="K22" s="43"/>
      <c r="L22" s="315"/>
      <c r="M22" s="314"/>
      <c r="N22" s="41"/>
    </row>
    <row r="23" spans="2:14" s="15" customFormat="1" ht="16">
      <c r="F23" s="19"/>
      <c r="G23" s="346" t="s">
        <v>124</v>
      </c>
      <c r="H23" s="347"/>
      <c r="I23" s="348"/>
      <c r="J23" s="313">
        <f>J22+J20</f>
        <v>0</v>
      </c>
      <c r="K23" s="43"/>
      <c r="L23" s="315"/>
      <c r="M23" s="314"/>
      <c r="N23" s="41"/>
    </row>
    <row r="24" spans="2:14" s="15" customFormat="1" ht="16">
      <c r="F24" s="19"/>
      <c r="G24" s="316"/>
      <c r="H24" s="316"/>
      <c r="I24" s="316"/>
      <c r="J24" s="317"/>
      <c r="K24" s="43"/>
      <c r="L24" s="315"/>
      <c r="M24" s="314"/>
      <c r="N24" s="41"/>
    </row>
    <row r="25" spans="2:14" s="15" customFormat="1" ht="16">
      <c r="F25" s="19"/>
      <c r="G25" s="316"/>
      <c r="H25" s="316"/>
      <c r="I25" s="316"/>
      <c r="J25" s="317"/>
      <c r="K25" s="43"/>
      <c r="L25" s="315"/>
      <c r="M25" s="314"/>
      <c r="N25" s="41"/>
    </row>
    <row r="26" spans="2:14" s="15" customFormat="1" ht="16">
      <c r="F26" s="19"/>
      <c r="G26" s="316"/>
      <c r="H26" s="316"/>
      <c r="I26" s="316"/>
      <c r="J26" s="317"/>
      <c r="K26" s="43"/>
      <c r="L26" s="315"/>
      <c r="M26" s="314"/>
      <c r="N26" s="41"/>
    </row>
    <row r="27" spans="2:14" s="15" customFormat="1" ht="18.75" customHeight="1">
      <c r="C27" s="16"/>
      <c r="D27" s="16"/>
      <c r="E27" s="16"/>
      <c r="G27" s="7"/>
      <c r="H27" s="21"/>
      <c r="I27" s="21"/>
      <c r="J27" s="21"/>
      <c r="K27" s="17"/>
      <c r="L27" s="269"/>
      <c r="M27" s="269"/>
      <c r="N27" s="11"/>
    </row>
    <row r="28" spans="2:14" ht="15.5" customHeight="1">
      <c r="B28" s="351" t="s">
        <v>141</v>
      </c>
      <c r="C28" s="351"/>
      <c r="D28" s="18"/>
      <c r="E28" s="18"/>
      <c r="F28" s="19"/>
      <c r="G28" s="20"/>
      <c r="H28" s="352" t="s">
        <v>1</v>
      </c>
      <c r="I28" s="352"/>
      <c r="J28" s="352"/>
      <c r="K28" s="322"/>
    </row>
    <row r="29" spans="2:14">
      <c r="B29" s="351"/>
      <c r="C29" s="351"/>
      <c r="D29" s="8"/>
      <c r="E29" s="8"/>
      <c r="H29" s="21"/>
      <c r="I29" s="21"/>
      <c r="J29" s="21"/>
      <c r="K29" s="21"/>
    </row>
    <row r="30" spans="2:14">
      <c r="B30" s="8"/>
      <c r="C30" s="8"/>
      <c r="D30" s="8"/>
      <c r="E30" s="8"/>
      <c r="H30" s="21"/>
      <c r="I30" s="21"/>
      <c r="J30" s="21"/>
      <c r="K30" s="21"/>
    </row>
    <row r="31" spans="2:14" ht="16">
      <c r="B31" s="8" t="s">
        <v>109</v>
      </c>
      <c r="C31" s="22"/>
      <c r="D31" s="22"/>
      <c r="E31" s="22"/>
      <c r="H31" s="339"/>
      <c r="I31" s="339"/>
      <c r="J31" s="340"/>
      <c r="K31" s="323"/>
    </row>
    <row r="32" spans="2:14" ht="16">
      <c r="C32" s="23"/>
      <c r="D32" s="23"/>
      <c r="E32" s="23"/>
      <c r="H32" s="323"/>
      <c r="I32" s="323"/>
      <c r="J32" s="323"/>
      <c r="K32" s="323"/>
    </row>
    <row r="33" spans="1:14">
      <c r="B33" s="24"/>
      <c r="F33" s="25"/>
      <c r="H33" s="26"/>
      <c r="I33" s="26"/>
      <c r="J33" s="26"/>
      <c r="K33" s="26"/>
    </row>
    <row r="34" spans="1:14">
      <c r="B34" s="28" t="s">
        <v>2</v>
      </c>
      <c r="L34" s="270"/>
      <c r="M34" s="270"/>
      <c r="N34" s="34"/>
    </row>
    <row r="35" spans="1:14" ht="18" customHeight="1">
      <c r="B35" s="35" t="s">
        <v>125</v>
      </c>
      <c r="L35" s="270"/>
      <c r="M35" s="270"/>
      <c r="N35" s="34"/>
    </row>
    <row r="36" spans="1:14" ht="18" customHeight="1">
      <c r="B36" s="356" t="s">
        <v>131</v>
      </c>
      <c r="C36" s="356"/>
      <c r="D36" s="356"/>
      <c r="E36" s="356"/>
      <c r="F36" s="356"/>
      <c r="G36" s="356"/>
      <c r="H36" s="356"/>
      <c r="L36" s="270"/>
      <c r="M36" s="270"/>
      <c r="N36" s="34"/>
    </row>
    <row r="37" spans="1:14" ht="18" customHeight="1">
      <c r="B37" s="35" t="s">
        <v>128</v>
      </c>
      <c r="C37" s="36"/>
      <c r="D37" s="36"/>
      <c r="E37" s="36"/>
      <c r="L37" s="270"/>
      <c r="M37" s="270"/>
      <c r="N37" s="34"/>
    </row>
    <row r="38" spans="1:14" s="37" customFormat="1" ht="18" customHeight="1">
      <c r="B38" s="35" t="s">
        <v>142</v>
      </c>
      <c r="C38" s="36"/>
      <c r="D38" s="36"/>
      <c r="E38" s="36"/>
      <c r="F38" s="1"/>
      <c r="G38" s="7"/>
      <c r="L38" s="271"/>
      <c r="M38" s="271"/>
    </row>
    <row r="39" spans="1:14" ht="17">
      <c r="B39" s="35" t="s">
        <v>129</v>
      </c>
      <c r="C39" s="37"/>
      <c r="D39" s="37"/>
      <c r="E39" s="37"/>
      <c r="F39" s="37"/>
      <c r="G39" s="37"/>
      <c r="H39" s="1"/>
      <c r="I39" s="1"/>
      <c r="J39" s="1"/>
      <c r="K39" s="1"/>
      <c r="L39" s="270"/>
      <c r="M39" s="270"/>
      <c r="N39" s="34"/>
    </row>
    <row r="40" spans="1:14">
      <c r="B40" s="35" t="s">
        <v>130</v>
      </c>
      <c r="G40" s="1"/>
      <c r="H40" s="1"/>
      <c r="I40" s="1"/>
      <c r="J40" s="1"/>
      <c r="K40" s="1"/>
      <c r="L40" s="270"/>
      <c r="M40" s="270"/>
      <c r="N40" s="34"/>
    </row>
    <row r="41" spans="1:14" ht="16.5">
      <c r="B41" s="35"/>
      <c r="C41" s="334"/>
      <c r="G41" s="1"/>
      <c r="H41" s="1"/>
      <c r="I41" s="1"/>
      <c r="J41" s="1"/>
      <c r="K41" s="1"/>
      <c r="L41" s="270"/>
      <c r="M41" s="270"/>
      <c r="N41" s="34"/>
    </row>
    <row r="42" spans="1:14" s="28" customFormat="1">
      <c r="A42" s="27"/>
      <c r="B42" s="28" t="s">
        <v>108</v>
      </c>
      <c r="C42" s="29"/>
      <c r="D42" s="29"/>
      <c r="E42" s="29"/>
      <c r="F42" s="27"/>
      <c r="G42" s="29" t="s">
        <v>107</v>
      </c>
      <c r="H42" s="27"/>
      <c r="I42" s="27"/>
      <c r="J42" s="27"/>
      <c r="K42" s="27"/>
      <c r="L42" s="272"/>
      <c r="M42" s="272"/>
      <c r="N42" s="30"/>
    </row>
    <row r="43" spans="1:14" s="28" customFormat="1" ht="23">
      <c r="G43" s="341" t="s">
        <v>127</v>
      </c>
      <c r="H43" s="341"/>
      <c r="I43" s="341"/>
      <c r="J43" s="341"/>
      <c r="K43" s="31"/>
      <c r="L43" s="265"/>
      <c r="M43" s="265"/>
      <c r="N43" s="6"/>
    </row>
    <row r="44" spans="1:14" s="28" customFormat="1" ht="23">
      <c r="G44" s="341"/>
      <c r="H44" s="341"/>
      <c r="I44" s="341"/>
      <c r="J44" s="341"/>
      <c r="K44" s="31"/>
      <c r="L44" s="265"/>
      <c r="M44" s="265"/>
      <c r="N44" s="6"/>
    </row>
    <row r="45" spans="1:14" s="28" customFormat="1" ht="23.5" thickBot="1">
      <c r="B45" s="32"/>
      <c r="C45" s="32"/>
      <c r="G45" s="342"/>
      <c r="H45" s="342"/>
      <c r="I45" s="342"/>
      <c r="J45" s="342"/>
      <c r="K45" s="31"/>
      <c r="L45" s="265"/>
      <c r="M45" s="265"/>
      <c r="N45" s="6"/>
    </row>
    <row r="46" spans="1:14" s="33" customFormat="1" ht="18" customHeight="1">
      <c r="B46" s="33" t="s">
        <v>20</v>
      </c>
      <c r="G46" s="33" t="s">
        <v>106</v>
      </c>
      <c r="L46" s="269"/>
      <c r="M46" s="269"/>
      <c r="N46" s="11"/>
    </row>
  </sheetData>
  <mergeCells count="14">
    <mergeCell ref="B15:C15"/>
    <mergeCell ref="C16:E16"/>
    <mergeCell ref="H31:J31"/>
    <mergeCell ref="G43:J45"/>
    <mergeCell ref="C18:E18"/>
    <mergeCell ref="G20:I20"/>
    <mergeCell ref="G21:H21"/>
    <mergeCell ref="G22:I22"/>
    <mergeCell ref="B28:C29"/>
    <mergeCell ref="H28:J28"/>
    <mergeCell ref="G23:I23"/>
    <mergeCell ref="C17:E17"/>
    <mergeCell ref="B36:H36"/>
    <mergeCell ref="G19:I19"/>
  </mergeCells>
  <phoneticPr fontId="10" type="noConversion"/>
  <printOptions horizontalCentered="1"/>
  <pageMargins left="0.23622047244094491" right="0.23622047244094491" top="0.74803149606299213" bottom="0.74803149606299213" header="0.31496062992125984" footer="0.31496062992125984"/>
  <pageSetup paperSize="9" scale="68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3">
    <tabColor rgb="FFFF0000"/>
    <pageSetUpPr fitToPage="1"/>
  </sheetPr>
  <dimension ref="A1:N106"/>
  <sheetViews>
    <sheetView showGridLines="0" view="pageBreakPreview" topLeftCell="A65" zoomScaleNormal="120" zoomScaleSheetLayoutView="100" workbookViewId="0">
      <selection activeCell="J8" sqref="J8"/>
    </sheetView>
  </sheetViews>
  <sheetFormatPr defaultColWidth="9.1796875" defaultRowHeight="10.5"/>
  <cols>
    <col min="1" max="1" width="17.90625" style="44" customWidth="1"/>
    <col min="2" max="2" width="11.453125" style="44" customWidth="1"/>
    <col min="3" max="3" width="16.453125" style="44" customWidth="1"/>
    <col min="4" max="4" width="17.1796875" style="44" customWidth="1"/>
    <col min="5" max="5" width="16.453125" style="44" customWidth="1"/>
    <col min="6" max="6" width="13.453125" style="44" customWidth="1"/>
    <col min="7" max="7" width="16.1796875" style="44" customWidth="1"/>
    <col min="8" max="8" width="21.1796875" style="44" bestFit="1" customWidth="1"/>
    <col min="9" max="9" width="1.1796875" style="44" customWidth="1"/>
    <col min="10" max="10" width="8.81640625" style="44" customWidth="1"/>
    <col min="11" max="11" width="7.453125" style="44" customWidth="1"/>
    <col min="12" max="12" width="15" style="44" bestFit="1" customWidth="1"/>
    <col min="13" max="13" width="3.453125" style="44" customWidth="1"/>
    <col min="14" max="14" width="7.81640625" style="44" bestFit="1" customWidth="1"/>
    <col min="15" max="15" width="11.81640625" style="44" bestFit="1" customWidth="1"/>
    <col min="16" max="256" width="9.1796875" style="44"/>
    <col min="257" max="257" width="21.453125" style="44" customWidth="1"/>
    <col min="258" max="258" width="11.453125" style="44" customWidth="1"/>
    <col min="259" max="259" width="20.81640625" style="44" bestFit="1" customWidth="1"/>
    <col min="260" max="261" width="16.1796875" style="44" customWidth="1"/>
    <col min="262" max="262" width="12.1796875" style="44" customWidth="1"/>
    <col min="263" max="263" width="13.453125" style="44" customWidth="1"/>
    <col min="264" max="264" width="17.453125" style="44" bestFit="1" customWidth="1"/>
    <col min="265" max="265" width="1.1796875" style="44" customWidth="1"/>
    <col min="266" max="266" width="8.81640625" style="44" customWidth="1"/>
    <col min="267" max="267" width="7.453125" style="44" customWidth="1"/>
    <col min="268" max="268" width="13.1796875" style="44" bestFit="1" customWidth="1"/>
    <col min="269" max="269" width="3.453125" style="44" customWidth="1"/>
    <col min="270" max="270" width="7.81640625" style="44" bestFit="1" customWidth="1"/>
    <col min="271" max="271" width="11.81640625" style="44" bestFit="1" customWidth="1"/>
    <col min="272" max="512" width="9.1796875" style="44"/>
    <col min="513" max="513" width="21.453125" style="44" customWidth="1"/>
    <col min="514" max="514" width="11.453125" style="44" customWidth="1"/>
    <col min="515" max="515" width="20.81640625" style="44" bestFit="1" customWidth="1"/>
    <col min="516" max="517" width="16.1796875" style="44" customWidth="1"/>
    <col min="518" max="518" width="12.1796875" style="44" customWidth="1"/>
    <col min="519" max="519" width="13.453125" style="44" customWidth="1"/>
    <col min="520" max="520" width="17.453125" style="44" bestFit="1" customWidth="1"/>
    <col min="521" max="521" width="1.1796875" style="44" customWidth="1"/>
    <col min="522" max="522" width="8.81640625" style="44" customWidth="1"/>
    <col min="523" max="523" width="7.453125" style="44" customWidth="1"/>
    <col min="524" max="524" width="13.1796875" style="44" bestFit="1" customWidth="1"/>
    <col min="525" max="525" width="3.453125" style="44" customWidth="1"/>
    <col min="526" max="526" width="7.81640625" style="44" bestFit="1" customWidth="1"/>
    <col min="527" max="527" width="11.81640625" style="44" bestFit="1" customWidth="1"/>
    <col min="528" max="768" width="9.1796875" style="44"/>
    <col min="769" max="769" width="21.453125" style="44" customWidth="1"/>
    <col min="770" max="770" width="11.453125" style="44" customWidth="1"/>
    <col min="771" max="771" width="20.81640625" style="44" bestFit="1" customWidth="1"/>
    <col min="772" max="773" width="16.1796875" style="44" customWidth="1"/>
    <col min="774" max="774" width="12.1796875" style="44" customWidth="1"/>
    <col min="775" max="775" width="13.453125" style="44" customWidth="1"/>
    <col min="776" max="776" width="17.453125" style="44" bestFit="1" customWidth="1"/>
    <col min="777" max="777" width="1.1796875" style="44" customWidth="1"/>
    <col min="778" max="778" width="8.81640625" style="44" customWidth="1"/>
    <col min="779" max="779" width="7.453125" style="44" customWidth="1"/>
    <col min="780" max="780" width="13.1796875" style="44" bestFit="1" customWidth="1"/>
    <col min="781" max="781" width="3.453125" style="44" customWidth="1"/>
    <col min="782" max="782" width="7.81640625" style="44" bestFit="1" customWidth="1"/>
    <col min="783" max="783" width="11.81640625" style="44" bestFit="1" customWidth="1"/>
    <col min="784" max="1024" width="9.1796875" style="44"/>
    <col min="1025" max="1025" width="21.453125" style="44" customWidth="1"/>
    <col min="1026" max="1026" width="11.453125" style="44" customWidth="1"/>
    <col min="1027" max="1027" width="20.81640625" style="44" bestFit="1" customWidth="1"/>
    <col min="1028" max="1029" width="16.1796875" style="44" customWidth="1"/>
    <col min="1030" max="1030" width="12.1796875" style="44" customWidth="1"/>
    <col min="1031" max="1031" width="13.453125" style="44" customWidth="1"/>
    <col min="1032" max="1032" width="17.453125" style="44" bestFit="1" customWidth="1"/>
    <col min="1033" max="1033" width="1.1796875" style="44" customWidth="1"/>
    <col min="1034" max="1034" width="8.81640625" style="44" customWidth="1"/>
    <col min="1035" max="1035" width="7.453125" style="44" customWidth="1"/>
    <col min="1036" max="1036" width="13.1796875" style="44" bestFit="1" customWidth="1"/>
    <col min="1037" max="1037" width="3.453125" style="44" customWidth="1"/>
    <col min="1038" max="1038" width="7.81640625" style="44" bestFit="1" customWidth="1"/>
    <col min="1039" max="1039" width="11.81640625" style="44" bestFit="1" customWidth="1"/>
    <col min="1040" max="1280" width="9.1796875" style="44"/>
    <col min="1281" max="1281" width="21.453125" style="44" customWidth="1"/>
    <col min="1282" max="1282" width="11.453125" style="44" customWidth="1"/>
    <col min="1283" max="1283" width="20.81640625" style="44" bestFit="1" customWidth="1"/>
    <col min="1284" max="1285" width="16.1796875" style="44" customWidth="1"/>
    <col min="1286" max="1286" width="12.1796875" style="44" customWidth="1"/>
    <col min="1287" max="1287" width="13.453125" style="44" customWidth="1"/>
    <col min="1288" max="1288" width="17.453125" style="44" bestFit="1" customWidth="1"/>
    <col min="1289" max="1289" width="1.1796875" style="44" customWidth="1"/>
    <col min="1290" max="1290" width="8.81640625" style="44" customWidth="1"/>
    <col min="1291" max="1291" width="7.453125" style="44" customWidth="1"/>
    <col min="1292" max="1292" width="13.1796875" style="44" bestFit="1" customWidth="1"/>
    <col min="1293" max="1293" width="3.453125" style="44" customWidth="1"/>
    <col min="1294" max="1294" width="7.81640625" style="44" bestFit="1" customWidth="1"/>
    <col min="1295" max="1295" width="11.81640625" style="44" bestFit="1" customWidth="1"/>
    <col min="1296" max="1536" width="9.1796875" style="44"/>
    <col min="1537" max="1537" width="21.453125" style="44" customWidth="1"/>
    <col min="1538" max="1538" width="11.453125" style="44" customWidth="1"/>
    <col min="1539" max="1539" width="20.81640625" style="44" bestFit="1" customWidth="1"/>
    <col min="1540" max="1541" width="16.1796875" style="44" customWidth="1"/>
    <col min="1542" max="1542" width="12.1796875" style="44" customWidth="1"/>
    <col min="1543" max="1543" width="13.453125" style="44" customWidth="1"/>
    <col min="1544" max="1544" width="17.453125" style="44" bestFit="1" customWidth="1"/>
    <col min="1545" max="1545" width="1.1796875" style="44" customWidth="1"/>
    <col min="1546" max="1546" width="8.81640625" style="44" customWidth="1"/>
    <col min="1547" max="1547" width="7.453125" style="44" customWidth="1"/>
    <col min="1548" max="1548" width="13.1796875" style="44" bestFit="1" customWidth="1"/>
    <col min="1549" max="1549" width="3.453125" style="44" customWidth="1"/>
    <col min="1550" max="1550" width="7.81640625" style="44" bestFit="1" customWidth="1"/>
    <col min="1551" max="1551" width="11.81640625" style="44" bestFit="1" customWidth="1"/>
    <col min="1552" max="1792" width="9.1796875" style="44"/>
    <col min="1793" max="1793" width="21.453125" style="44" customWidth="1"/>
    <col min="1794" max="1794" width="11.453125" style="44" customWidth="1"/>
    <col min="1795" max="1795" width="20.81640625" style="44" bestFit="1" customWidth="1"/>
    <col min="1796" max="1797" width="16.1796875" style="44" customWidth="1"/>
    <col min="1798" max="1798" width="12.1796875" style="44" customWidth="1"/>
    <col min="1799" max="1799" width="13.453125" style="44" customWidth="1"/>
    <col min="1800" max="1800" width="17.453125" style="44" bestFit="1" customWidth="1"/>
    <col min="1801" max="1801" width="1.1796875" style="44" customWidth="1"/>
    <col min="1802" max="1802" width="8.81640625" style="44" customWidth="1"/>
    <col min="1803" max="1803" width="7.453125" style="44" customWidth="1"/>
    <col min="1804" max="1804" width="13.1796875" style="44" bestFit="1" customWidth="1"/>
    <col min="1805" max="1805" width="3.453125" style="44" customWidth="1"/>
    <col min="1806" max="1806" width="7.81640625" style="44" bestFit="1" customWidth="1"/>
    <col min="1807" max="1807" width="11.81640625" style="44" bestFit="1" customWidth="1"/>
    <col min="1808" max="2048" width="9.1796875" style="44"/>
    <col min="2049" max="2049" width="21.453125" style="44" customWidth="1"/>
    <col min="2050" max="2050" width="11.453125" style="44" customWidth="1"/>
    <col min="2051" max="2051" width="20.81640625" style="44" bestFit="1" customWidth="1"/>
    <col min="2052" max="2053" width="16.1796875" style="44" customWidth="1"/>
    <col min="2054" max="2054" width="12.1796875" style="44" customWidth="1"/>
    <col min="2055" max="2055" width="13.453125" style="44" customWidth="1"/>
    <col min="2056" max="2056" width="17.453125" style="44" bestFit="1" customWidth="1"/>
    <col min="2057" max="2057" width="1.1796875" style="44" customWidth="1"/>
    <col min="2058" max="2058" width="8.81640625" style="44" customWidth="1"/>
    <col min="2059" max="2059" width="7.453125" style="44" customWidth="1"/>
    <col min="2060" max="2060" width="13.1796875" style="44" bestFit="1" customWidth="1"/>
    <col min="2061" max="2061" width="3.453125" style="44" customWidth="1"/>
    <col min="2062" max="2062" width="7.81640625" style="44" bestFit="1" customWidth="1"/>
    <col min="2063" max="2063" width="11.81640625" style="44" bestFit="1" customWidth="1"/>
    <col min="2064" max="2304" width="9.1796875" style="44"/>
    <col min="2305" max="2305" width="21.453125" style="44" customWidth="1"/>
    <col min="2306" max="2306" width="11.453125" style="44" customWidth="1"/>
    <col min="2307" max="2307" width="20.81640625" style="44" bestFit="1" customWidth="1"/>
    <col min="2308" max="2309" width="16.1796875" style="44" customWidth="1"/>
    <col min="2310" max="2310" width="12.1796875" style="44" customWidth="1"/>
    <col min="2311" max="2311" width="13.453125" style="44" customWidth="1"/>
    <col min="2312" max="2312" width="17.453125" style="44" bestFit="1" customWidth="1"/>
    <col min="2313" max="2313" width="1.1796875" style="44" customWidth="1"/>
    <col min="2314" max="2314" width="8.81640625" style="44" customWidth="1"/>
    <col min="2315" max="2315" width="7.453125" style="44" customWidth="1"/>
    <col min="2316" max="2316" width="13.1796875" style="44" bestFit="1" customWidth="1"/>
    <col min="2317" max="2317" width="3.453125" style="44" customWidth="1"/>
    <col min="2318" max="2318" width="7.81640625" style="44" bestFit="1" customWidth="1"/>
    <col min="2319" max="2319" width="11.81640625" style="44" bestFit="1" customWidth="1"/>
    <col min="2320" max="2560" width="9.1796875" style="44"/>
    <col min="2561" max="2561" width="21.453125" style="44" customWidth="1"/>
    <col min="2562" max="2562" width="11.453125" style="44" customWidth="1"/>
    <col min="2563" max="2563" width="20.81640625" style="44" bestFit="1" customWidth="1"/>
    <col min="2564" max="2565" width="16.1796875" style="44" customWidth="1"/>
    <col min="2566" max="2566" width="12.1796875" style="44" customWidth="1"/>
    <col min="2567" max="2567" width="13.453125" style="44" customWidth="1"/>
    <col min="2568" max="2568" width="17.453125" style="44" bestFit="1" customWidth="1"/>
    <col min="2569" max="2569" width="1.1796875" style="44" customWidth="1"/>
    <col min="2570" max="2570" width="8.81640625" style="44" customWidth="1"/>
    <col min="2571" max="2571" width="7.453125" style="44" customWidth="1"/>
    <col min="2572" max="2572" width="13.1796875" style="44" bestFit="1" customWidth="1"/>
    <col min="2573" max="2573" width="3.453125" style="44" customWidth="1"/>
    <col min="2574" max="2574" width="7.81640625" style="44" bestFit="1" customWidth="1"/>
    <col min="2575" max="2575" width="11.81640625" style="44" bestFit="1" customWidth="1"/>
    <col min="2576" max="2816" width="9.1796875" style="44"/>
    <col min="2817" max="2817" width="21.453125" style="44" customWidth="1"/>
    <col min="2818" max="2818" width="11.453125" style="44" customWidth="1"/>
    <col min="2819" max="2819" width="20.81640625" style="44" bestFit="1" customWidth="1"/>
    <col min="2820" max="2821" width="16.1796875" style="44" customWidth="1"/>
    <col min="2822" max="2822" width="12.1796875" style="44" customWidth="1"/>
    <col min="2823" max="2823" width="13.453125" style="44" customWidth="1"/>
    <col min="2824" max="2824" width="17.453125" style="44" bestFit="1" customWidth="1"/>
    <col min="2825" max="2825" width="1.1796875" style="44" customWidth="1"/>
    <col min="2826" max="2826" width="8.81640625" style="44" customWidth="1"/>
    <col min="2827" max="2827" width="7.453125" style="44" customWidth="1"/>
    <col min="2828" max="2828" width="13.1796875" style="44" bestFit="1" customWidth="1"/>
    <col min="2829" max="2829" width="3.453125" style="44" customWidth="1"/>
    <col min="2830" max="2830" width="7.81640625" style="44" bestFit="1" customWidth="1"/>
    <col min="2831" max="2831" width="11.81640625" style="44" bestFit="1" customWidth="1"/>
    <col min="2832" max="3072" width="9.1796875" style="44"/>
    <col min="3073" max="3073" width="21.453125" style="44" customWidth="1"/>
    <col min="3074" max="3074" width="11.453125" style="44" customWidth="1"/>
    <col min="3075" max="3075" width="20.81640625" style="44" bestFit="1" customWidth="1"/>
    <col min="3076" max="3077" width="16.1796875" style="44" customWidth="1"/>
    <col min="3078" max="3078" width="12.1796875" style="44" customWidth="1"/>
    <col min="3079" max="3079" width="13.453125" style="44" customWidth="1"/>
    <col min="3080" max="3080" width="17.453125" style="44" bestFit="1" customWidth="1"/>
    <col min="3081" max="3081" width="1.1796875" style="44" customWidth="1"/>
    <col min="3082" max="3082" width="8.81640625" style="44" customWidth="1"/>
    <col min="3083" max="3083" width="7.453125" style="44" customWidth="1"/>
    <col min="3084" max="3084" width="13.1796875" style="44" bestFit="1" customWidth="1"/>
    <col min="3085" max="3085" width="3.453125" style="44" customWidth="1"/>
    <col min="3086" max="3086" width="7.81640625" style="44" bestFit="1" customWidth="1"/>
    <col min="3087" max="3087" width="11.81640625" style="44" bestFit="1" customWidth="1"/>
    <col min="3088" max="3328" width="9.1796875" style="44"/>
    <col min="3329" max="3329" width="21.453125" style="44" customWidth="1"/>
    <col min="3330" max="3330" width="11.453125" style="44" customWidth="1"/>
    <col min="3331" max="3331" width="20.81640625" style="44" bestFit="1" customWidth="1"/>
    <col min="3332" max="3333" width="16.1796875" style="44" customWidth="1"/>
    <col min="3334" max="3334" width="12.1796875" style="44" customWidth="1"/>
    <col min="3335" max="3335" width="13.453125" style="44" customWidth="1"/>
    <col min="3336" max="3336" width="17.453125" style="44" bestFit="1" customWidth="1"/>
    <col min="3337" max="3337" width="1.1796875" style="44" customWidth="1"/>
    <col min="3338" max="3338" width="8.81640625" style="44" customWidth="1"/>
    <col min="3339" max="3339" width="7.453125" style="44" customWidth="1"/>
    <col min="3340" max="3340" width="13.1796875" style="44" bestFit="1" customWidth="1"/>
    <col min="3341" max="3341" width="3.453125" style="44" customWidth="1"/>
    <col min="3342" max="3342" width="7.81640625" style="44" bestFit="1" customWidth="1"/>
    <col min="3343" max="3343" width="11.81640625" style="44" bestFit="1" customWidth="1"/>
    <col min="3344" max="3584" width="9.1796875" style="44"/>
    <col min="3585" max="3585" width="21.453125" style="44" customWidth="1"/>
    <col min="3586" max="3586" width="11.453125" style="44" customWidth="1"/>
    <col min="3587" max="3587" width="20.81640625" style="44" bestFit="1" customWidth="1"/>
    <col min="3588" max="3589" width="16.1796875" style="44" customWidth="1"/>
    <col min="3590" max="3590" width="12.1796875" style="44" customWidth="1"/>
    <col min="3591" max="3591" width="13.453125" style="44" customWidth="1"/>
    <col min="3592" max="3592" width="17.453125" style="44" bestFit="1" customWidth="1"/>
    <col min="3593" max="3593" width="1.1796875" style="44" customWidth="1"/>
    <col min="3594" max="3594" width="8.81640625" style="44" customWidth="1"/>
    <col min="3595" max="3595" width="7.453125" style="44" customWidth="1"/>
    <col min="3596" max="3596" width="13.1796875" style="44" bestFit="1" customWidth="1"/>
    <col min="3597" max="3597" width="3.453125" style="44" customWidth="1"/>
    <col min="3598" max="3598" width="7.81640625" style="44" bestFit="1" customWidth="1"/>
    <col min="3599" max="3599" width="11.81640625" style="44" bestFit="1" customWidth="1"/>
    <col min="3600" max="3840" width="9.1796875" style="44"/>
    <col min="3841" max="3841" width="21.453125" style="44" customWidth="1"/>
    <col min="3842" max="3842" width="11.453125" style="44" customWidth="1"/>
    <col min="3843" max="3843" width="20.81640625" style="44" bestFit="1" customWidth="1"/>
    <col min="3844" max="3845" width="16.1796875" style="44" customWidth="1"/>
    <col min="3846" max="3846" width="12.1796875" style="44" customWidth="1"/>
    <col min="3847" max="3847" width="13.453125" style="44" customWidth="1"/>
    <col min="3848" max="3848" width="17.453125" style="44" bestFit="1" customWidth="1"/>
    <col min="3849" max="3849" width="1.1796875" style="44" customWidth="1"/>
    <col min="3850" max="3850" width="8.81640625" style="44" customWidth="1"/>
    <col min="3851" max="3851" width="7.453125" style="44" customWidth="1"/>
    <col min="3852" max="3852" width="13.1796875" style="44" bestFit="1" customWidth="1"/>
    <col min="3853" max="3853" width="3.453125" style="44" customWidth="1"/>
    <col min="3854" max="3854" width="7.81640625" style="44" bestFit="1" customWidth="1"/>
    <col min="3855" max="3855" width="11.81640625" style="44" bestFit="1" customWidth="1"/>
    <col min="3856" max="4096" width="9.1796875" style="44"/>
    <col min="4097" max="4097" width="21.453125" style="44" customWidth="1"/>
    <col min="4098" max="4098" width="11.453125" style="44" customWidth="1"/>
    <col min="4099" max="4099" width="20.81640625" style="44" bestFit="1" customWidth="1"/>
    <col min="4100" max="4101" width="16.1796875" style="44" customWidth="1"/>
    <col min="4102" max="4102" width="12.1796875" style="44" customWidth="1"/>
    <col min="4103" max="4103" width="13.453125" style="44" customWidth="1"/>
    <col min="4104" max="4104" width="17.453125" style="44" bestFit="1" customWidth="1"/>
    <col min="4105" max="4105" width="1.1796875" style="44" customWidth="1"/>
    <col min="4106" max="4106" width="8.81640625" style="44" customWidth="1"/>
    <col min="4107" max="4107" width="7.453125" style="44" customWidth="1"/>
    <col min="4108" max="4108" width="13.1796875" style="44" bestFit="1" customWidth="1"/>
    <col min="4109" max="4109" width="3.453125" style="44" customWidth="1"/>
    <col min="4110" max="4110" width="7.81640625" style="44" bestFit="1" customWidth="1"/>
    <col min="4111" max="4111" width="11.81640625" style="44" bestFit="1" customWidth="1"/>
    <col min="4112" max="4352" width="9.1796875" style="44"/>
    <col min="4353" max="4353" width="21.453125" style="44" customWidth="1"/>
    <col min="4354" max="4354" width="11.453125" style="44" customWidth="1"/>
    <col min="4355" max="4355" width="20.81640625" style="44" bestFit="1" customWidth="1"/>
    <col min="4356" max="4357" width="16.1796875" style="44" customWidth="1"/>
    <col min="4358" max="4358" width="12.1796875" style="44" customWidth="1"/>
    <col min="4359" max="4359" width="13.453125" style="44" customWidth="1"/>
    <col min="4360" max="4360" width="17.453125" style="44" bestFit="1" customWidth="1"/>
    <col min="4361" max="4361" width="1.1796875" style="44" customWidth="1"/>
    <col min="4362" max="4362" width="8.81640625" style="44" customWidth="1"/>
    <col min="4363" max="4363" width="7.453125" style="44" customWidth="1"/>
    <col min="4364" max="4364" width="13.1796875" style="44" bestFit="1" customWidth="1"/>
    <col min="4365" max="4365" width="3.453125" style="44" customWidth="1"/>
    <col min="4366" max="4366" width="7.81640625" style="44" bestFit="1" customWidth="1"/>
    <col min="4367" max="4367" width="11.81640625" style="44" bestFit="1" customWidth="1"/>
    <col min="4368" max="4608" width="9.1796875" style="44"/>
    <col min="4609" max="4609" width="21.453125" style="44" customWidth="1"/>
    <col min="4610" max="4610" width="11.453125" style="44" customWidth="1"/>
    <col min="4611" max="4611" width="20.81640625" style="44" bestFit="1" customWidth="1"/>
    <col min="4612" max="4613" width="16.1796875" style="44" customWidth="1"/>
    <col min="4614" max="4614" width="12.1796875" style="44" customWidth="1"/>
    <col min="4615" max="4615" width="13.453125" style="44" customWidth="1"/>
    <col min="4616" max="4616" width="17.453125" style="44" bestFit="1" customWidth="1"/>
    <col min="4617" max="4617" width="1.1796875" style="44" customWidth="1"/>
    <col min="4618" max="4618" width="8.81640625" style="44" customWidth="1"/>
    <col min="4619" max="4619" width="7.453125" style="44" customWidth="1"/>
    <col min="4620" max="4620" width="13.1796875" style="44" bestFit="1" customWidth="1"/>
    <col min="4621" max="4621" width="3.453125" style="44" customWidth="1"/>
    <col min="4622" max="4622" width="7.81640625" style="44" bestFit="1" customWidth="1"/>
    <col min="4623" max="4623" width="11.81640625" style="44" bestFit="1" customWidth="1"/>
    <col min="4624" max="4864" width="9.1796875" style="44"/>
    <col min="4865" max="4865" width="21.453125" style="44" customWidth="1"/>
    <col min="4866" max="4866" width="11.453125" style="44" customWidth="1"/>
    <col min="4867" max="4867" width="20.81640625" style="44" bestFit="1" customWidth="1"/>
    <col min="4868" max="4869" width="16.1796875" style="44" customWidth="1"/>
    <col min="4870" max="4870" width="12.1796875" style="44" customWidth="1"/>
    <col min="4871" max="4871" width="13.453125" style="44" customWidth="1"/>
    <col min="4872" max="4872" width="17.453125" style="44" bestFit="1" customWidth="1"/>
    <col min="4873" max="4873" width="1.1796875" style="44" customWidth="1"/>
    <col min="4874" max="4874" width="8.81640625" style="44" customWidth="1"/>
    <col min="4875" max="4875" width="7.453125" style="44" customWidth="1"/>
    <col min="4876" max="4876" width="13.1796875" style="44" bestFit="1" customWidth="1"/>
    <col min="4877" max="4877" width="3.453125" style="44" customWidth="1"/>
    <col min="4878" max="4878" width="7.81640625" style="44" bestFit="1" customWidth="1"/>
    <col min="4879" max="4879" width="11.81640625" style="44" bestFit="1" customWidth="1"/>
    <col min="4880" max="5120" width="9.1796875" style="44"/>
    <col min="5121" max="5121" width="21.453125" style="44" customWidth="1"/>
    <col min="5122" max="5122" width="11.453125" style="44" customWidth="1"/>
    <col min="5123" max="5123" width="20.81640625" style="44" bestFit="1" customWidth="1"/>
    <col min="5124" max="5125" width="16.1796875" style="44" customWidth="1"/>
    <col min="5126" max="5126" width="12.1796875" style="44" customWidth="1"/>
    <col min="5127" max="5127" width="13.453125" style="44" customWidth="1"/>
    <col min="5128" max="5128" width="17.453125" style="44" bestFit="1" customWidth="1"/>
    <col min="5129" max="5129" width="1.1796875" style="44" customWidth="1"/>
    <col min="5130" max="5130" width="8.81640625" style="44" customWidth="1"/>
    <col min="5131" max="5131" width="7.453125" style="44" customWidth="1"/>
    <col min="5132" max="5132" width="13.1796875" style="44" bestFit="1" customWidth="1"/>
    <col min="5133" max="5133" width="3.453125" style="44" customWidth="1"/>
    <col min="5134" max="5134" width="7.81640625" style="44" bestFit="1" customWidth="1"/>
    <col min="5135" max="5135" width="11.81640625" style="44" bestFit="1" customWidth="1"/>
    <col min="5136" max="5376" width="9.1796875" style="44"/>
    <col min="5377" max="5377" width="21.453125" style="44" customWidth="1"/>
    <col min="5378" max="5378" width="11.453125" style="44" customWidth="1"/>
    <col min="5379" max="5379" width="20.81640625" style="44" bestFit="1" customWidth="1"/>
    <col min="5380" max="5381" width="16.1796875" style="44" customWidth="1"/>
    <col min="5382" max="5382" width="12.1796875" style="44" customWidth="1"/>
    <col min="5383" max="5383" width="13.453125" style="44" customWidth="1"/>
    <col min="5384" max="5384" width="17.453125" style="44" bestFit="1" customWidth="1"/>
    <col min="5385" max="5385" width="1.1796875" style="44" customWidth="1"/>
    <col min="5386" max="5386" width="8.81640625" style="44" customWidth="1"/>
    <col min="5387" max="5387" width="7.453125" style="44" customWidth="1"/>
    <col min="5388" max="5388" width="13.1796875" style="44" bestFit="1" customWidth="1"/>
    <col min="5389" max="5389" width="3.453125" style="44" customWidth="1"/>
    <col min="5390" max="5390" width="7.81640625" style="44" bestFit="1" customWidth="1"/>
    <col min="5391" max="5391" width="11.81640625" style="44" bestFit="1" customWidth="1"/>
    <col min="5392" max="5632" width="9.1796875" style="44"/>
    <col min="5633" max="5633" width="21.453125" style="44" customWidth="1"/>
    <col min="5634" max="5634" width="11.453125" style="44" customWidth="1"/>
    <col min="5635" max="5635" width="20.81640625" style="44" bestFit="1" customWidth="1"/>
    <col min="5636" max="5637" width="16.1796875" style="44" customWidth="1"/>
    <col min="5638" max="5638" width="12.1796875" style="44" customWidth="1"/>
    <col min="5639" max="5639" width="13.453125" style="44" customWidth="1"/>
    <col min="5640" max="5640" width="17.453125" style="44" bestFit="1" customWidth="1"/>
    <col min="5641" max="5641" width="1.1796875" style="44" customWidth="1"/>
    <col min="5642" max="5642" width="8.81640625" style="44" customWidth="1"/>
    <col min="5643" max="5643" width="7.453125" style="44" customWidth="1"/>
    <col min="5644" max="5644" width="13.1796875" style="44" bestFit="1" customWidth="1"/>
    <col min="5645" max="5645" width="3.453125" style="44" customWidth="1"/>
    <col min="5646" max="5646" width="7.81640625" style="44" bestFit="1" customWidth="1"/>
    <col min="5647" max="5647" width="11.81640625" style="44" bestFit="1" customWidth="1"/>
    <col min="5648" max="5888" width="9.1796875" style="44"/>
    <col min="5889" max="5889" width="21.453125" style="44" customWidth="1"/>
    <col min="5890" max="5890" width="11.453125" style="44" customWidth="1"/>
    <col min="5891" max="5891" width="20.81640625" style="44" bestFit="1" customWidth="1"/>
    <col min="5892" max="5893" width="16.1796875" style="44" customWidth="1"/>
    <col min="5894" max="5894" width="12.1796875" style="44" customWidth="1"/>
    <col min="5895" max="5895" width="13.453125" style="44" customWidth="1"/>
    <col min="5896" max="5896" width="17.453125" style="44" bestFit="1" customWidth="1"/>
    <col min="5897" max="5897" width="1.1796875" style="44" customWidth="1"/>
    <col min="5898" max="5898" width="8.81640625" style="44" customWidth="1"/>
    <col min="5899" max="5899" width="7.453125" style="44" customWidth="1"/>
    <col min="5900" max="5900" width="13.1796875" style="44" bestFit="1" customWidth="1"/>
    <col min="5901" max="5901" width="3.453125" style="44" customWidth="1"/>
    <col min="5902" max="5902" width="7.81640625" style="44" bestFit="1" customWidth="1"/>
    <col min="5903" max="5903" width="11.81640625" style="44" bestFit="1" customWidth="1"/>
    <col min="5904" max="6144" width="9.1796875" style="44"/>
    <col min="6145" max="6145" width="21.453125" style="44" customWidth="1"/>
    <col min="6146" max="6146" width="11.453125" style="44" customWidth="1"/>
    <col min="6147" max="6147" width="20.81640625" style="44" bestFit="1" customWidth="1"/>
    <col min="6148" max="6149" width="16.1796875" style="44" customWidth="1"/>
    <col min="6150" max="6150" width="12.1796875" style="44" customWidth="1"/>
    <col min="6151" max="6151" width="13.453125" style="44" customWidth="1"/>
    <col min="6152" max="6152" width="17.453125" style="44" bestFit="1" customWidth="1"/>
    <col min="6153" max="6153" width="1.1796875" style="44" customWidth="1"/>
    <col min="6154" max="6154" width="8.81640625" style="44" customWidth="1"/>
    <col min="6155" max="6155" width="7.453125" style="44" customWidth="1"/>
    <col min="6156" max="6156" width="13.1796875" style="44" bestFit="1" customWidth="1"/>
    <col min="6157" max="6157" width="3.453125" style="44" customWidth="1"/>
    <col min="6158" max="6158" width="7.81640625" style="44" bestFit="1" customWidth="1"/>
    <col min="6159" max="6159" width="11.81640625" style="44" bestFit="1" customWidth="1"/>
    <col min="6160" max="6400" width="9.1796875" style="44"/>
    <col min="6401" max="6401" width="21.453125" style="44" customWidth="1"/>
    <col min="6402" max="6402" width="11.453125" style="44" customWidth="1"/>
    <col min="6403" max="6403" width="20.81640625" style="44" bestFit="1" customWidth="1"/>
    <col min="6404" max="6405" width="16.1796875" style="44" customWidth="1"/>
    <col min="6406" max="6406" width="12.1796875" style="44" customWidth="1"/>
    <col min="6407" max="6407" width="13.453125" style="44" customWidth="1"/>
    <col min="6408" max="6408" width="17.453125" style="44" bestFit="1" customWidth="1"/>
    <col min="6409" max="6409" width="1.1796875" style="44" customWidth="1"/>
    <col min="6410" max="6410" width="8.81640625" style="44" customWidth="1"/>
    <col min="6411" max="6411" width="7.453125" style="44" customWidth="1"/>
    <col min="6412" max="6412" width="13.1796875" style="44" bestFit="1" customWidth="1"/>
    <col min="6413" max="6413" width="3.453125" style="44" customWidth="1"/>
    <col min="6414" max="6414" width="7.81640625" style="44" bestFit="1" customWidth="1"/>
    <col min="6415" max="6415" width="11.81640625" style="44" bestFit="1" customWidth="1"/>
    <col min="6416" max="6656" width="9.1796875" style="44"/>
    <col min="6657" max="6657" width="21.453125" style="44" customWidth="1"/>
    <col min="6658" max="6658" width="11.453125" style="44" customWidth="1"/>
    <col min="6659" max="6659" width="20.81640625" style="44" bestFit="1" customWidth="1"/>
    <col min="6660" max="6661" width="16.1796875" style="44" customWidth="1"/>
    <col min="6662" max="6662" width="12.1796875" style="44" customWidth="1"/>
    <col min="6663" max="6663" width="13.453125" style="44" customWidth="1"/>
    <col min="6664" max="6664" width="17.453125" style="44" bestFit="1" customWidth="1"/>
    <col min="6665" max="6665" width="1.1796875" style="44" customWidth="1"/>
    <col min="6666" max="6666" width="8.81640625" style="44" customWidth="1"/>
    <col min="6667" max="6667" width="7.453125" style="44" customWidth="1"/>
    <col min="6668" max="6668" width="13.1796875" style="44" bestFit="1" customWidth="1"/>
    <col min="6669" max="6669" width="3.453125" style="44" customWidth="1"/>
    <col min="6670" max="6670" width="7.81640625" style="44" bestFit="1" customWidth="1"/>
    <col min="6671" max="6671" width="11.81640625" style="44" bestFit="1" customWidth="1"/>
    <col min="6672" max="6912" width="9.1796875" style="44"/>
    <col min="6913" max="6913" width="21.453125" style="44" customWidth="1"/>
    <col min="6914" max="6914" width="11.453125" style="44" customWidth="1"/>
    <col min="6915" max="6915" width="20.81640625" style="44" bestFit="1" customWidth="1"/>
    <col min="6916" max="6917" width="16.1796875" style="44" customWidth="1"/>
    <col min="6918" max="6918" width="12.1796875" style="44" customWidth="1"/>
    <col min="6919" max="6919" width="13.453125" style="44" customWidth="1"/>
    <col min="6920" max="6920" width="17.453125" style="44" bestFit="1" customWidth="1"/>
    <col min="6921" max="6921" width="1.1796875" style="44" customWidth="1"/>
    <col min="6922" max="6922" width="8.81640625" style="44" customWidth="1"/>
    <col min="6923" max="6923" width="7.453125" style="44" customWidth="1"/>
    <col min="6924" max="6924" width="13.1796875" style="44" bestFit="1" customWidth="1"/>
    <col min="6925" max="6925" width="3.453125" style="44" customWidth="1"/>
    <col min="6926" max="6926" width="7.81640625" style="44" bestFit="1" customWidth="1"/>
    <col min="6927" max="6927" width="11.81640625" style="44" bestFit="1" customWidth="1"/>
    <col min="6928" max="7168" width="9.1796875" style="44"/>
    <col min="7169" max="7169" width="21.453125" style="44" customWidth="1"/>
    <col min="7170" max="7170" width="11.453125" style="44" customWidth="1"/>
    <col min="7171" max="7171" width="20.81640625" style="44" bestFit="1" customWidth="1"/>
    <col min="7172" max="7173" width="16.1796875" style="44" customWidth="1"/>
    <col min="7174" max="7174" width="12.1796875" style="44" customWidth="1"/>
    <col min="7175" max="7175" width="13.453125" style="44" customWidth="1"/>
    <col min="7176" max="7176" width="17.453125" style="44" bestFit="1" customWidth="1"/>
    <col min="7177" max="7177" width="1.1796875" style="44" customWidth="1"/>
    <col min="7178" max="7178" width="8.81640625" style="44" customWidth="1"/>
    <col min="7179" max="7179" width="7.453125" style="44" customWidth="1"/>
    <col min="7180" max="7180" width="13.1796875" style="44" bestFit="1" customWidth="1"/>
    <col min="7181" max="7181" width="3.453125" style="44" customWidth="1"/>
    <col min="7182" max="7182" width="7.81640625" style="44" bestFit="1" customWidth="1"/>
    <col min="7183" max="7183" width="11.81640625" style="44" bestFit="1" customWidth="1"/>
    <col min="7184" max="7424" width="9.1796875" style="44"/>
    <col min="7425" max="7425" width="21.453125" style="44" customWidth="1"/>
    <col min="7426" max="7426" width="11.453125" style="44" customWidth="1"/>
    <col min="7427" max="7427" width="20.81640625" style="44" bestFit="1" customWidth="1"/>
    <col min="7428" max="7429" width="16.1796875" style="44" customWidth="1"/>
    <col min="7430" max="7430" width="12.1796875" style="44" customWidth="1"/>
    <col min="7431" max="7431" width="13.453125" style="44" customWidth="1"/>
    <col min="7432" max="7432" width="17.453125" style="44" bestFit="1" customWidth="1"/>
    <col min="7433" max="7433" width="1.1796875" style="44" customWidth="1"/>
    <col min="7434" max="7434" width="8.81640625" style="44" customWidth="1"/>
    <col min="7435" max="7435" width="7.453125" style="44" customWidth="1"/>
    <col min="7436" max="7436" width="13.1796875" style="44" bestFit="1" customWidth="1"/>
    <col min="7437" max="7437" width="3.453125" style="44" customWidth="1"/>
    <col min="7438" max="7438" width="7.81640625" style="44" bestFit="1" customWidth="1"/>
    <col min="7439" max="7439" width="11.81640625" style="44" bestFit="1" customWidth="1"/>
    <col min="7440" max="7680" width="9.1796875" style="44"/>
    <col min="7681" max="7681" width="21.453125" style="44" customWidth="1"/>
    <col min="7682" max="7682" width="11.453125" style="44" customWidth="1"/>
    <col min="7683" max="7683" width="20.81640625" style="44" bestFit="1" customWidth="1"/>
    <col min="7684" max="7685" width="16.1796875" style="44" customWidth="1"/>
    <col min="7686" max="7686" width="12.1796875" style="44" customWidth="1"/>
    <col min="7687" max="7687" width="13.453125" style="44" customWidth="1"/>
    <col min="7688" max="7688" width="17.453125" style="44" bestFit="1" customWidth="1"/>
    <col min="7689" max="7689" width="1.1796875" style="44" customWidth="1"/>
    <col min="7690" max="7690" width="8.81640625" style="44" customWidth="1"/>
    <col min="7691" max="7691" width="7.453125" style="44" customWidth="1"/>
    <col min="7692" max="7692" width="13.1796875" style="44" bestFit="1" customWidth="1"/>
    <col min="7693" max="7693" width="3.453125" style="44" customWidth="1"/>
    <col min="7694" max="7694" width="7.81640625" style="44" bestFit="1" customWidth="1"/>
    <col min="7695" max="7695" width="11.81640625" style="44" bestFit="1" customWidth="1"/>
    <col min="7696" max="7936" width="9.1796875" style="44"/>
    <col min="7937" max="7937" width="21.453125" style="44" customWidth="1"/>
    <col min="7938" max="7938" width="11.453125" style="44" customWidth="1"/>
    <col min="7939" max="7939" width="20.81640625" style="44" bestFit="1" customWidth="1"/>
    <col min="7940" max="7941" width="16.1796875" style="44" customWidth="1"/>
    <col min="7942" max="7942" width="12.1796875" style="44" customWidth="1"/>
    <col min="7943" max="7943" width="13.453125" style="44" customWidth="1"/>
    <col min="7944" max="7944" width="17.453125" style="44" bestFit="1" customWidth="1"/>
    <col min="7945" max="7945" width="1.1796875" style="44" customWidth="1"/>
    <col min="7946" max="7946" width="8.81640625" style="44" customWidth="1"/>
    <col min="7947" max="7947" width="7.453125" style="44" customWidth="1"/>
    <col min="7948" max="7948" width="13.1796875" style="44" bestFit="1" customWidth="1"/>
    <col min="7949" max="7949" width="3.453125" style="44" customWidth="1"/>
    <col min="7950" max="7950" width="7.81640625" style="44" bestFit="1" customWidth="1"/>
    <col min="7951" max="7951" width="11.81640625" style="44" bestFit="1" customWidth="1"/>
    <col min="7952" max="8192" width="9.1796875" style="44"/>
    <col min="8193" max="8193" width="21.453125" style="44" customWidth="1"/>
    <col min="8194" max="8194" width="11.453125" style="44" customWidth="1"/>
    <col min="8195" max="8195" width="20.81640625" style="44" bestFit="1" customWidth="1"/>
    <col min="8196" max="8197" width="16.1796875" style="44" customWidth="1"/>
    <col min="8198" max="8198" width="12.1796875" style="44" customWidth="1"/>
    <col min="8199" max="8199" width="13.453125" style="44" customWidth="1"/>
    <col min="8200" max="8200" width="17.453125" style="44" bestFit="1" customWidth="1"/>
    <col min="8201" max="8201" width="1.1796875" style="44" customWidth="1"/>
    <col min="8202" max="8202" width="8.81640625" style="44" customWidth="1"/>
    <col min="8203" max="8203" width="7.453125" style="44" customWidth="1"/>
    <col min="8204" max="8204" width="13.1796875" style="44" bestFit="1" customWidth="1"/>
    <col min="8205" max="8205" width="3.453125" style="44" customWidth="1"/>
    <col min="8206" max="8206" width="7.81640625" style="44" bestFit="1" customWidth="1"/>
    <col min="8207" max="8207" width="11.81640625" style="44" bestFit="1" customWidth="1"/>
    <col min="8208" max="8448" width="9.1796875" style="44"/>
    <col min="8449" max="8449" width="21.453125" style="44" customWidth="1"/>
    <col min="8450" max="8450" width="11.453125" style="44" customWidth="1"/>
    <col min="8451" max="8451" width="20.81640625" style="44" bestFit="1" customWidth="1"/>
    <col min="8452" max="8453" width="16.1796875" style="44" customWidth="1"/>
    <col min="8454" max="8454" width="12.1796875" style="44" customWidth="1"/>
    <col min="8455" max="8455" width="13.453125" style="44" customWidth="1"/>
    <col min="8456" max="8456" width="17.453125" style="44" bestFit="1" customWidth="1"/>
    <col min="8457" max="8457" width="1.1796875" style="44" customWidth="1"/>
    <col min="8458" max="8458" width="8.81640625" style="44" customWidth="1"/>
    <col min="8459" max="8459" width="7.453125" style="44" customWidth="1"/>
    <col min="8460" max="8460" width="13.1796875" style="44" bestFit="1" customWidth="1"/>
    <col min="8461" max="8461" width="3.453125" style="44" customWidth="1"/>
    <col min="8462" max="8462" width="7.81640625" style="44" bestFit="1" customWidth="1"/>
    <col min="8463" max="8463" width="11.81640625" style="44" bestFit="1" customWidth="1"/>
    <col min="8464" max="8704" width="9.1796875" style="44"/>
    <col min="8705" max="8705" width="21.453125" style="44" customWidth="1"/>
    <col min="8706" max="8706" width="11.453125" style="44" customWidth="1"/>
    <col min="8707" max="8707" width="20.81640625" style="44" bestFit="1" customWidth="1"/>
    <col min="8708" max="8709" width="16.1796875" style="44" customWidth="1"/>
    <col min="8710" max="8710" width="12.1796875" style="44" customWidth="1"/>
    <col min="8711" max="8711" width="13.453125" style="44" customWidth="1"/>
    <col min="8712" max="8712" width="17.453125" style="44" bestFit="1" customWidth="1"/>
    <col min="8713" max="8713" width="1.1796875" style="44" customWidth="1"/>
    <col min="8714" max="8714" width="8.81640625" style="44" customWidth="1"/>
    <col min="8715" max="8715" width="7.453125" style="44" customWidth="1"/>
    <col min="8716" max="8716" width="13.1796875" style="44" bestFit="1" customWidth="1"/>
    <col min="8717" max="8717" width="3.453125" style="44" customWidth="1"/>
    <col min="8718" max="8718" width="7.81640625" style="44" bestFit="1" customWidth="1"/>
    <col min="8719" max="8719" width="11.81640625" style="44" bestFit="1" customWidth="1"/>
    <col min="8720" max="8960" width="9.1796875" style="44"/>
    <col min="8961" max="8961" width="21.453125" style="44" customWidth="1"/>
    <col min="8962" max="8962" width="11.453125" style="44" customWidth="1"/>
    <col min="8963" max="8963" width="20.81640625" style="44" bestFit="1" customWidth="1"/>
    <col min="8964" max="8965" width="16.1796875" style="44" customWidth="1"/>
    <col min="8966" max="8966" width="12.1796875" style="44" customWidth="1"/>
    <col min="8967" max="8967" width="13.453125" style="44" customWidth="1"/>
    <col min="8968" max="8968" width="17.453125" style="44" bestFit="1" customWidth="1"/>
    <col min="8969" max="8969" width="1.1796875" style="44" customWidth="1"/>
    <col min="8970" max="8970" width="8.81640625" style="44" customWidth="1"/>
    <col min="8971" max="8971" width="7.453125" style="44" customWidth="1"/>
    <col min="8972" max="8972" width="13.1796875" style="44" bestFit="1" customWidth="1"/>
    <col min="8973" max="8973" width="3.453125" style="44" customWidth="1"/>
    <col min="8974" max="8974" width="7.81640625" style="44" bestFit="1" customWidth="1"/>
    <col min="8975" max="8975" width="11.81640625" style="44" bestFit="1" customWidth="1"/>
    <col min="8976" max="9216" width="9.1796875" style="44"/>
    <col min="9217" max="9217" width="21.453125" style="44" customWidth="1"/>
    <col min="9218" max="9218" width="11.453125" style="44" customWidth="1"/>
    <col min="9219" max="9219" width="20.81640625" style="44" bestFit="1" customWidth="1"/>
    <col min="9220" max="9221" width="16.1796875" style="44" customWidth="1"/>
    <col min="9222" max="9222" width="12.1796875" style="44" customWidth="1"/>
    <col min="9223" max="9223" width="13.453125" style="44" customWidth="1"/>
    <col min="9224" max="9224" width="17.453125" style="44" bestFit="1" customWidth="1"/>
    <col min="9225" max="9225" width="1.1796875" style="44" customWidth="1"/>
    <col min="9226" max="9226" width="8.81640625" style="44" customWidth="1"/>
    <col min="9227" max="9227" width="7.453125" style="44" customWidth="1"/>
    <col min="9228" max="9228" width="13.1796875" style="44" bestFit="1" customWidth="1"/>
    <col min="9229" max="9229" width="3.453125" style="44" customWidth="1"/>
    <col min="9230" max="9230" width="7.81640625" style="44" bestFit="1" customWidth="1"/>
    <col min="9231" max="9231" width="11.81640625" style="44" bestFit="1" customWidth="1"/>
    <col min="9232" max="9472" width="9.1796875" style="44"/>
    <col min="9473" max="9473" width="21.453125" style="44" customWidth="1"/>
    <col min="9474" max="9474" width="11.453125" style="44" customWidth="1"/>
    <col min="9475" max="9475" width="20.81640625" style="44" bestFit="1" customWidth="1"/>
    <col min="9476" max="9477" width="16.1796875" style="44" customWidth="1"/>
    <col min="9478" max="9478" width="12.1796875" style="44" customWidth="1"/>
    <col min="9479" max="9479" width="13.453125" style="44" customWidth="1"/>
    <col min="9480" max="9480" width="17.453125" style="44" bestFit="1" customWidth="1"/>
    <col min="9481" max="9481" width="1.1796875" style="44" customWidth="1"/>
    <col min="9482" max="9482" width="8.81640625" style="44" customWidth="1"/>
    <col min="9483" max="9483" width="7.453125" style="44" customWidth="1"/>
    <col min="9484" max="9484" width="13.1796875" style="44" bestFit="1" customWidth="1"/>
    <col min="9485" max="9485" width="3.453125" style="44" customWidth="1"/>
    <col min="9486" max="9486" width="7.81640625" style="44" bestFit="1" customWidth="1"/>
    <col min="9487" max="9487" width="11.81640625" style="44" bestFit="1" customWidth="1"/>
    <col min="9488" max="9728" width="9.1796875" style="44"/>
    <col min="9729" max="9729" width="21.453125" style="44" customWidth="1"/>
    <col min="9730" max="9730" width="11.453125" style="44" customWidth="1"/>
    <col min="9731" max="9731" width="20.81640625" style="44" bestFit="1" customWidth="1"/>
    <col min="9732" max="9733" width="16.1796875" style="44" customWidth="1"/>
    <col min="9734" max="9734" width="12.1796875" style="44" customWidth="1"/>
    <col min="9735" max="9735" width="13.453125" style="44" customWidth="1"/>
    <col min="9736" max="9736" width="17.453125" style="44" bestFit="1" customWidth="1"/>
    <col min="9737" max="9737" width="1.1796875" style="44" customWidth="1"/>
    <col min="9738" max="9738" width="8.81640625" style="44" customWidth="1"/>
    <col min="9739" max="9739" width="7.453125" style="44" customWidth="1"/>
    <col min="9740" max="9740" width="13.1796875" style="44" bestFit="1" customWidth="1"/>
    <col min="9741" max="9741" width="3.453125" style="44" customWidth="1"/>
    <col min="9742" max="9742" width="7.81640625" style="44" bestFit="1" customWidth="1"/>
    <col min="9743" max="9743" width="11.81640625" style="44" bestFit="1" customWidth="1"/>
    <col min="9744" max="9984" width="9.1796875" style="44"/>
    <col min="9985" max="9985" width="21.453125" style="44" customWidth="1"/>
    <col min="9986" max="9986" width="11.453125" style="44" customWidth="1"/>
    <col min="9987" max="9987" width="20.81640625" style="44" bestFit="1" customWidth="1"/>
    <col min="9988" max="9989" width="16.1796875" style="44" customWidth="1"/>
    <col min="9990" max="9990" width="12.1796875" style="44" customWidth="1"/>
    <col min="9991" max="9991" width="13.453125" style="44" customWidth="1"/>
    <col min="9992" max="9992" width="17.453125" style="44" bestFit="1" customWidth="1"/>
    <col min="9993" max="9993" width="1.1796875" style="44" customWidth="1"/>
    <col min="9994" max="9994" width="8.81640625" style="44" customWidth="1"/>
    <col min="9995" max="9995" width="7.453125" style="44" customWidth="1"/>
    <col min="9996" max="9996" width="13.1796875" style="44" bestFit="1" customWidth="1"/>
    <col min="9997" max="9997" width="3.453125" style="44" customWidth="1"/>
    <col min="9998" max="9998" width="7.81640625" style="44" bestFit="1" customWidth="1"/>
    <col min="9999" max="9999" width="11.81640625" style="44" bestFit="1" customWidth="1"/>
    <col min="10000" max="10240" width="9.1796875" style="44"/>
    <col min="10241" max="10241" width="21.453125" style="44" customWidth="1"/>
    <col min="10242" max="10242" width="11.453125" style="44" customWidth="1"/>
    <col min="10243" max="10243" width="20.81640625" style="44" bestFit="1" customWidth="1"/>
    <col min="10244" max="10245" width="16.1796875" style="44" customWidth="1"/>
    <col min="10246" max="10246" width="12.1796875" style="44" customWidth="1"/>
    <col min="10247" max="10247" width="13.453125" style="44" customWidth="1"/>
    <col min="10248" max="10248" width="17.453125" style="44" bestFit="1" customWidth="1"/>
    <col min="10249" max="10249" width="1.1796875" style="44" customWidth="1"/>
    <col min="10250" max="10250" width="8.81640625" style="44" customWidth="1"/>
    <col min="10251" max="10251" width="7.453125" style="44" customWidth="1"/>
    <col min="10252" max="10252" width="13.1796875" style="44" bestFit="1" customWidth="1"/>
    <col min="10253" max="10253" width="3.453125" style="44" customWidth="1"/>
    <col min="10254" max="10254" width="7.81640625" style="44" bestFit="1" customWidth="1"/>
    <col min="10255" max="10255" width="11.81640625" style="44" bestFit="1" customWidth="1"/>
    <col min="10256" max="10496" width="9.1796875" style="44"/>
    <col min="10497" max="10497" width="21.453125" style="44" customWidth="1"/>
    <col min="10498" max="10498" width="11.453125" style="44" customWidth="1"/>
    <col min="10499" max="10499" width="20.81640625" style="44" bestFit="1" customWidth="1"/>
    <col min="10500" max="10501" width="16.1796875" style="44" customWidth="1"/>
    <col min="10502" max="10502" width="12.1796875" style="44" customWidth="1"/>
    <col min="10503" max="10503" width="13.453125" style="44" customWidth="1"/>
    <col min="10504" max="10504" width="17.453125" style="44" bestFit="1" customWidth="1"/>
    <col min="10505" max="10505" width="1.1796875" style="44" customWidth="1"/>
    <col min="10506" max="10506" width="8.81640625" style="44" customWidth="1"/>
    <col min="10507" max="10507" width="7.453125" style="44" customWidth="1"/>
    <col min="10508" max="10508" width="13.1796875" style="44" bestFit="1" customWidth="1"/>
    <col min="10509" max="10509" width="3.453125" style="44" customWidth="1"/>
    <col min="10510" max="10510" width="7.81640625" style="44" bestFit="1" customWidth="1"/>
    <col min="10511" max="10511" width="11.81640625" style="44" bestFit="1" customWidth="1"/>
    <col min="10512" max="10752" width="9.1796875" style="44"/>
    <col min="10753" max="10753" width="21.453125" style="44" customWidth="1"/>
    <col min="10754" max="10754" width="11.453125" style="44" customWidth="1"/>
    <col min="10755" max="10755" width="20.81640625" style="44" bestFit="1" customWidth="1"/>
    <col min="10756" max="10757" width="16.1796875" style="44" customWidth="1"/>
    <col min="10758" max="10758" width="12.1796875" style="44" customWidth="1"/>
    <col min="10759" max="10759" width="13.453125" style="44" customWidth="1"/>
    <col min="10760" max="10760" width="17.453125" style="44" bestFit="1" customWidth="1"/>
    <col min="10761" max="10761" width="1.1796875" style="44" customWidth="1"/>
    <col min="10762" max="10762" width="8.81640625" style="44" customWidth="1"/>
    <col min="10763" max="10763" width="7.453125" style="44" customWidth="1"/>
    <col min="10764" max="10764" width="13.1796875" style="44" bestFit="1" customWidth="1"/>
    <col min="10765" max="10765" width="3.453125" style="44" customWidth="1"/>
    <col min="10766" max="10766" width="7.81640625" style="44" bestFit="1" customWidth="1"/>
    <col min="10767" max="10767" width="11.81640625" style="44" bestFit="1" customWidth="1"/>
    <col min="10768" max="11008" width="9.1796875" style="44"/>
    <col min="11009" max="11009" width="21.453125" style="44" customWidth="1"/>
    <col min="11010" max="11010" width="11.453125" style="44" customWidth="1"/>
    <col min="11011" max="11011" width="20.81640625" style="44" bestFit="1" customWidth="1"/>
    <col min="11012" max="11013" width="16.1796875" style="44" customWidth="1"/>
    <col min="11014" max="11014" width="12.1796875" style="44" customWidth="1"/>
    <col min="11015" max="11015" width="13.453125" style="44" customWidth="1"/>
    <col min="11016" max="11016" width="17.453125" style="44" bestFit="1" customWidth="1"/>
    <col min="11017" max="11017" width="1.1796875" style="44" customWidth="1"/>
    <col min="11018" max="11018" width="8.81640625" style="44" customWidth="1"/>
    <col min="11019" max="11019" width="7.453125" style="44" customWidth="1"/>
    <col min="11020" max="11020" width="13.1796875" style="44" bestFit="1" customWidth="1"/>
    <col min="11021" max="11021" width="3.453125" style="44" customWidth="1"/>
    <col min="11022" max="11022" width="7.81640625" style="44" bestFit="1" customWidth="1"/>
    <col min="11023" max="11023" width="11.81640625" style="44" bestFit="1" customWidth="1"/>
    <col min="11024" max="11264" width="9.1796875" style="44"/>
    <col min="11265" max="11265" width="21.453125" style="44" customWidth="1"/>
    <col min="11266" max="11266" width="11.453125" style="44" customWidth="1"/>
    <col min="11267" max="11267" width="20.81640625" style="44" bestFit="1" customWidth="1"/>
    <col min="11268" max="11269" width="16.1796875" style="44" customWidth="1"/>
    <col min="11270" max="11270" width="12.1796875" style="44" customWidth="1"/>
    <col min="11271" max="11271" width="13.453125" style="44" customWidth="1"/>
    <col min="11272" max="11272" width="17.453125" style="44" bestFit="1" customWidth="1"/>
    <col min="11273" max="11273" width="1.1796875" style="44" customWidth="1"/>
    <col min="11274" max="11274" width="8.81640625" style="44" customWidth="1"/>
    <col min="11275" max="11275" width="7.453125" style="44" customWidth="1"/>
    <col min="11276" max="11276" width="13.1796875" style="44" bestFit="1" customWidth="1"/>
    <col min="11277" max="11277" width="3.453125" style="44" customWidth="1"/>
    <col min="11278" max="11278" width="7.81640625" style="44" bestFit="1" customWidth="1"/>
    <col min="11279" max="11279" width="11.81640625" style="44" bestFit="1" customWidth="1"/>
    <col min="11280" max="11520" width="9.1796875" style="44"/>
    <col min="11521" max="11521" width="21.453125" style="44" customWidth="1"/>
    <col min="11522" max="11522" width="11.453125" style="44" customWidth="1"/>
    <col min="11523" max="11523" width="20.81640625" style="44" bestFit="1" customWidth="1"/>
    <col min="11524" max="11525" width="16.1796875" style="44" customWidth="1"/>
    <col min="11526" max="11526" width="12.1796875" style="44" customWidth="1"/>
    <col min="11527" max="11527" width="13.453125" style="44" customWidth="1"/>
    <col min="11528" max="11528" width="17.453125" style="44" bestFit="1" customWidth="1"/>
    <col min="11529" max="11529" width="1.1796875" style="44" customWidth="1"/>
    <col min="11530" max="11530" width="8.81640625" style="44" customWidth="1"/>
    <col min="11531" max="11531" width="7.453125" style="44" customWidth="1"/>
    <col min="11532" max="11532" width="13.1796875" style="44" bestFit="1" customWidth="1"/>
    <col min="11533" max="11533" width="3.453125" style="44" customWidth="1"/>
    <col min="11534" max="11534" width="7.81640625" style="44" bestFit="1" customWidth="1"/>
    <col min="11535" max="11535" width="11.81640625" style="44" bestFit="1" customWidth="1"/>
    <col min="11536" max="11776" width="9.1796875" style="44"/>
    <col min="11777" max="11777" width="21.453125" style="44" customWidth="1"/>
    <col min="11778" max="11778" width="11.453125" style="44" customWidth="1"/>
    <col min="11779" max="11779" width="20.81640625" style="44" bestFit="1" customWidth="1"/>
    <col min="11780" max="11781" width="16.1796875" style="44" customWidth="1"/>
    <col min="11782" max="11782" width="12.1796875" style="44" customWidth="1"/>
    <col min="11783" max="11783" width="13.453125" style="44" customWidth="1"/>
    <col min="11784" max="11784" width="17.453125" style="44" bestFit="1" customWidth="1"/>
    <col min="11785" max="11785" width="1.1796875" style="44" customWidth="1"/>
    <col min="11786" max="11786" width="8.81640625" style="44" customWidth="1"/>
    <col min="11787" max="11787" width="7.453125" style="44" customWidth="1"/>
    <col min="11788" max="11788" width="13.1796875" style="44" bestFit="1" customWidth="1"/>
    <col min="11789" max="11789" width="3.453125" style="44" customWidth="1"/>
    <col min="11790" max="11790" width="7.81640625" style="44" bestFit="1" customWidth="1"/>
    <col min="11791" max="11791" width="11.81640625" style="44" bestFit="1" customWidth="1"/>
    <col min="11792" max="12032" width="9.1796875" style="44"/>
    <col min="12033" max="12033" width="21.453125" style="44" customWidth="1"/>
    <col min="12034" max="12034" width="11.453125" style="44" customWidth="1"/>
    <col min="12035" max="12035" width="20.81640625" style="44" bestFit="1" customWidth="1"/>
    <col min="12036" max="12037" width="16.1796875" style="44" customWidth="1"/>
    <col min="12038" max="12038" width="12.1796875" style="44" customWidth="1"/>
    <col min="12039" max="12039" width="13.453125" style="44" customWidth="1"/>
    <col min="12040" max="12040" width="17.453125" style="44" bestFit="1" customWidth="1"/>
    <col min="12041" max="12041" width="1.1796875" style="44" customWidth="1"/>
    <col min="12042" max="12042" width="8.81640625" style="44" customWidth="1"/>
    <col min="12043" max="12043" width="7.453125" style="44" customWidth="1"/>
    <col min="12044" max="12044" width="13.1796875" style="44" bestFit="1" customWidth="1"/>
    <col min="12045" max="12045" width="3.453125" style="44" customWidth="1"/>
    <col min="12046" max="12046" width="7.81640625" style="44" bestFit="1" customWidth="1"/>
    <col min="12047" max="12047" width="11.81640625" style="44" bestFit="1" customWidth="1"/>
    <col min="12048" max="12288" width="9.1796875" style="44"/>
    <col min="12289" max="12289" width="21.453125" style="44" customWidth="1"/>
    <col min="12290" max="12290" width="11.453125" style="44" customWidth="1"/>
    <col min="12291" max="12291" width="20.81640625" style="44" bestFit="1" customWidth="1"/>
    <col min="12292" max="12293" width="16.1796875" style="44" customWidth="1"/>
    <col min="12294" max="12294" width="12.1796875" style="44" customWidth="1"/>
    <col min="12295" max="12295" width="13.453125" style="44" customWidth="1"/>
    <col min="12296" max="12296" width="17.453125" style="44" bestFit="1" customWidth="1"/>
    <col min="12297" max="12297" width="1.1796875" style="44" customWidth="1"/>
    <col min="12298" max="12298" width="8.81640625" style="44" customWidth="1"/>
    <col min="12299" max="12299" width="7.453125" style="44" customWidth="1"/>
    <col min="12300" max="12300" width="13.1796875" style="44" bestFit="1" customWidth="1"/>
    <col min="12301" max="12301" width="3.453125" style="44" customWidth="1"/>
    <col min="12302" max="12302" width="7.81640625" style="44" bestFit="1" customWidth="1"/>
    <col min="12303" max="12303" width="11.81640625" style="44" bestFit="1" customWidth="1"/>
    <col min="12304" max="12544" width="9.1796875" style="44"/>
    <col min="12545" max="12545" width="21.453125" style="44" customWidth="1"/>
    <col min="12546" max="12546" width="11.453125" style="44" customWidth="1"/>
    <col min="12547" max="12547" width="20.81640625" style="44" bestFit="1" customWidth="1"/>
    <col min="12548" max="12549" width="16.1796875" style="44" customWidth="1"/>
    <col min="12550" max="12550" width="12.1796875" style="44" customWidth="1"/>
    <col min="12551" max="12551" width="13.453125" style="44" customWidth="1"/>
    <col min="12552" max="12552" width="17.453125" style="44" bestFit="1" customWidth="1"/>
    <col min="12553" max="12553" width="1.1796875" style="44" customWidth="1"/>
    <col min="12554" max="12554" width="8.81640625" style="44" customWidth="1"/>
    <col min="12555" max="12555" width="7.453125" style="44" customWidth="1"/>
    <col min="12556" max="12556" width="13.1796875" style="44" bestFit="1" customWidth="1"/>
    <col min="12557" max="12557" width="3.453125" style="44" customWidth="1"/>
    <col min="12558" max="12558" width="7.81640625" style="44" bestFit="1" customWidth="1"/>
    <col min="12559" max="12559" width="11.81640625" style="44" bestFit="1" customWidth="1"/>
    <col min="12560" max="12800" width="9.1796875" style="44"/>
    <col min="12801" max="12801" width="21.453125" style="44" customWidth="1"/>
    <col min="12802" max="12802" width="11.453125" style="44" customWidth="1"/>
    <col min="12803" max="12803" width="20.81640625" style="44" bestFit="1" customWidth="1"/>
    <col min="12804" max="12805" width="16.1796875" style="44" customWidth="1"/>
    <col min="12806" max="12806" width="12.1796875" style="44" customWidth="1"/>
    <col min="12807" max="12807" width="13.453125" style="44" customWidth="1"/>
    <col min="12808" max="12808" width="17.453125" style="44" bestFit="1" customWidth="1"/>
    <col min="12809" max="12809" width="1.1796875" style="44" customWidth="1"/>
    <col min="12810" max="12810" width="8.81640625" style="44" customWidth="1"/>
    <col min="12811" max="12811" width="7.453125" style="44" customWidth="1"/>
    <col min="12812" max="12812" width="13.1796875" style="44" bestFit="1" customWidth="1"/>
    <col min="12813" max="12813" width="3.453125" style="44" customWidth="1"/>
    <col min="12814" max="12814" width="7.81640625" style="44" bestFit="1" customWidth="1"/>
    <col min="12815" max="12815" width="11.81640625" style="44" bestFit="1" customWidth="1"/>
    <col min="12816" max="13056" width="9.1796875" style="44"/>
    <col min="13057" max="13057" width="21.453125" style="44" customWidth="1"/>
    <col min="13058" max="13058" width="11.453125" style="44" customWidth="1"/>
    <col min="13059" max="13059" width="20.81640625" style="44" bestFit="1" customWidth="1"/>
    <col min="13060" max="13061" width="16.1796875" style="44" customWidth="1"/>
    <col min="13062" max="13062" width="12.1796875" style="44" customWidth="1"/>
    <col min="13063" max="13063" width="13.453125" style="44" customWidth="1"/>
    <col min="13064" max="13064" width="17.453125" style="44" bestFit="1" customWidth="1"/>
    <col min="13065" max="13065" width="1.1796875" style="44" customWidth="1"/>
    <col min="13066" max="13066" width="8.81640625" style="44" customWidth="1"/>
    <col min="13067" max="13067" width="7.453125" style="44" customWidth="1"/>
    <col min="13068" max="13068" width="13.1796875" style="44" bestFit="1" customWidth="1"/>
    <col min="13069" max="13069" width="3.453125" style="44" customWidth="1"/>
    <col min="13070" max="13070" width="7.81640625" style="44" bestFit="1" customWidth="1"/>
    <col min="13071" max="13071" width="11.81640625" style="44" bestFit="1" customWidth="1"/>
    <col min="13072" max="13312" width="9.1796875" style="44"/>
    <col min="13313" max="13313" width="21.453125" style="44" customWidth="1"/>
    <col min="13314" max="13314" width="11.453125" style="44" customWidth="1"/>
    <col min="13315" max="13315" width="20.81640625" style="44" bestFit="1" customWidth="1"/>
    <col min="13316" max="13317" width="16.1796875" style="44" customWidth="1"/>
    <col min="13318" max="13318" width="12.1796875" style="44" customWidth="1"/>
    <col min="13319" max="13319" width="13.453125" style="44" customWidth="1"/>
    <col min="13320" max="13320" width="17.453125" style="44" bestFit="1" customWidth="1"/>
    <col min="13321" max="13321" width="1.1796875" style="44" customWidth="1"/>
    <col min="13322" max="13322" width="8.81640625" style="44" customWidth="1"/>
    <col min="13323" max="13323" width="7.453125" style="44" customWidth="1"/>
    <col min="13324" max="13324" width="13.1796875" style="44" bestFit="1" customWidth="1"/>
    <col min="13325" max="13325" width="3.453125" style="44" customWidth="1"/>
    <col min="13326" max="13326" width="7.81640625" style="44" bestFit="1" customWidth="1"/>
    <col min="13327" max="13327" width="11.81640625" style="44" bestFit="1" customWidth="1"/>
    <col min="13328" max="13568" width="9.1796875" style="44"/>
    <col min="13569" max="13569" width="21.453125" style="44" customWidth="1"/>
    <col min="13570" max="13570" width="11.453125" style="44" customWidth="1"/>
    <col min="13571" max="13571" width="20.81640625" style="44" bestFit="1" customWidth="1"/>
    <col min="13572" max="13573" width="16.1796875" style="44" customWidth="1"/>
    <col min="13574" max="13574" width="12.1796875" style="44" customWidth="1"/>
    <col min="13575" max="13575" width="13.453125" style="44" customWidth="1"/>
    <col min="13576" max="13576" width="17.453125" style="44" bestFit="1" customWidth="1"/>
    <col min="13577" max="13577" width="1.1796875" style="44" customWidth="1"/>
    <col min="13578" max="13578" width="8.81640625" style="44" customWidth="1"/>
    <col min="13579" max="13579" width="7.453125" style="44" customWidth="1"/>
    <col min="13580" max="13580" width="13.1796875" style="44" bestFit="1" customWidth="1"/>
    <col min="13581" max="13581" width="3.453125" style="44" customWidth="1"/>
    <col min="13582" max="13582" width="7.81640625" style="44" bestFit="1" customWidth="1"/>
    <col min="13583" max="13583" width="11.81640625" style="44" bestFit="1" customWidth="1"/>
    <col min="13584" max="13824" width="9.1796875" style="44"/>
    <col min="13825" max="13825" width="21.453125" style="44" customWidth="1"/>
    <col min="13826" max="13826" width="11.453125" style="44" customWidth="1"/>
    <col min="13827" max="13827" width="20.81640625" style="44" bestFit="1" customWidth="1"/>
    <col min="13828" max="13829" width="16.1796875" style="44" customWidth="1"/>
    <col min="13830" max="13830" width="12.1796875" style="44" customWidth="1"/>
    <col min="13831" max="13831" width="13.453125" style="44" customWidth="1"/>
    <col min="13832" max="13832" width="17.453125" style="44" bestFit="1" customWidth="1"/>
    <col min="13833" max="13833" width="1.1796875" style="44" customWidth="1"/>
    <col min="13834" max="13834" width="8.81640625" style="44" customWidth="1"/>
    <col min="13835" max="13835" width="7.453125" style="44" customWidth="1"/>
    <col min="13836" max="13836" width="13.1796875" style="44" bestFit="1" customWidth="1"/>
    <col min="13837" max="13837" width="3.453125" style="44" customWidth="1"/>
    <col min="13838" max="13838" width="7.81640625" style="44" bestFit="1" customWidth="1"/>
    <col min="13839" max="13839" width="11.81640625" style="44" bestFit="1" customWidth="1"/>
    <col min="13840" max="14080" width="9.1796875" style="44"/>
    <col min="14081" max="14081" width="21.453125" style="44" customWidth="1"/>
    <col min="14082" max="14082" width="11.453125" style="44" customWidth="1"/>
    <col min="14083" max="14083" width="20.81640625" style="44" bestFit="1" customWidth="1"/>
    <col min="14084" max="14085" width="16.1796875" style="44" customWidth="1"/>
    <col min="14086" max="14086" width="12.1796875" style="44" customWidth="1"/>
    <col min="14087" max="14087" width="13.453125" style="44" customWidth="1"/>
    <col min="14088" max="14088" width="17.453125" style="44" bestFit="1" customWidth="1"/>
    <col min="14089" max="14089" width="1.1796875" style="44" customWidth="1"/>
    <col min="14090" max="14090" width="8.81640625" style="44" customWidth="1"/>
    <col min="14091" max="14091" width="7.453125" style="44" customWidth="1"/>
    <col min="14092" max="14092" width="13.1796875" style="44" bestFit="1" customWidth="1"/>
    <col min="14093" max="14093" width="3.453125" style="44" customWidth="1"/>
    <col min="14094" max="14094" width="7.81640625" style="44" bestFit="1" customWidth="1"/>
    <col min="14095" max="14095" width="11.81640625" style="44" bestFit="1" customWidth="1"/>
    <col min="14096" max="14336" width="9.1796875" style="44"/>
    <col min="14337" max="14337" width="21.453125" style="44" customWidth="1"/>
    <col min="14338" max="14338" width="11.453125" style="44" customWidth="1"/>
    <col min="14339" max="14339" width="20.81640625" style="44" bestFit="1" customWidth="1"/>
    <col min="14340" max="14341" width="16.1796875" style="44" customWidth="1"/>
    <col min="14342" max="14342" width="12.1796875" style="44" customWidth="1"/>
    <col min="14343" max="14343" width="13.453125" style="44" customWidth="1"/>
    <col min="14344" max="14344" width="17.453125" style="44" bestFit="1" customWidth="1"/>
    <col min="14345" max="14345" width="1.1796875" style="44" customWidth="1"/>
    <col min="14346" max="14346" width="8.81640625" style="44" customWidth="1"/>
    <col min="14347" max="14347" width="7.453125" style="44" customWidth="1"/>
    <col min="14348" max="14348" width="13.1796875" style="44" bestFit="1" customWidth="1"/>
    <col min="14349" max="14349" width="3.453125" style="44" customWidth="1"/>
    <col min="14350" max="14350" width="7.81640625" style="44" bestFit="1" customWidth="1"/>
    <col min="14351" max="14351" width="11.81640625" style="44" bestFit="1" customWidth="1"/>
    <col min="14352" max="14592" width="9.1796875" style="44"/>
    <col min="14593" max="14593" width="21.453125" style="44" customWidth="1"/>
    <col min="14594" max="14594" width="11.453125" style="44" customWidth="1"/>
    <col min="14595" max="14595" width="20.81640625" style="44" bestFit="1" customWidth="1"/>
    <col min="14596" max="14597" width="16.1796875" style="44" customWidth="1"/>
    <col min="14598" max="14598" width="12.1796875" style="44" customWidth="1"/>
    <col min="14599" max="14599" width="13.453125" style="44" customWidth="1"/>
    <col min="14600" max="14600" width="17.453125" style="44" bestFit="1" customWidth="1"/>
    <col min="14601" max="14601" width="1.1796875" style="44" customWidth="1"/>
    <col min="14602" max="14602" width="8.81640625" style="44" customWidth="1"/>
    <col min="14603" max="14603" width="7.453125" style="44" customWidth="1"/>
    <col min="14604" max="14604" width="13.1796875" style="44" bestFit="1" customWidth="1"/>
    <col min="14605" max="14605" width="3.453125" style="44" customWidth="1"/>
    <col min="14606" max="14606" width="7.81640625" style="44" bestFit="1" customWidth="1"/>
    <col min="14607" max="14607" width="11.81640625" style="44" bestFit="1" customWidth="1"/>
    <col min="14608" max="14848" width="9.1796875" style="44"/>
    <col min="14849" max="14849" width="21.453125" style="44" customWidth="1"/>
    <col min="14850" max="14850" width="11.453125" style="44" customWidth="1"/>
    <col min="14851" max="14851" width="20.81640625" style="44" bestFit="1" customWidth="1"/>
    <col min="14852" max="14853" width="16.1796875" style="44" customWidth="1"/>
    <col min="14854" max="14854" width="12.1796875" style="44" customWidth="1"/>
    <col min="14855" max="14855" width="13.453125" style="44" customWidth="1"/>
    <col min="14856" max="14856" width="17.453125" style="44" bestFit="1" customWidth="1"/>
    <col min="14857" max="14857" width="1.1796875" style="44" customWidth="1"/>
    <col min="14858" max="14858" width="8.81640625" style="44" customWidth="1"/>
    <col min="14859" max="14859" width="7.453125" style="44" customWidth="1"/>
    <col min="14860" max="14860" width="13.1796875" style="44" bestFit="1" customWidth="1"/>
    <col min="14861" max="14861" width="3.453125" style="44" customWidth="1"/>
    <col min="14862" max="14862" width="7.81640625" style="44" bestFit="1" customWidth="1"/>
    <col min="14863" max="14863" width="11.81640625" style="44" bestFit="1" customWidth="1"/>
    <col min="14864" max="15104" width="9.1796875" style="44"/>
    <col min="15105" max="15105" width="21.453125" style="44" customWidth="1"/>
    <col min="15106" max="15106" width="11.453125" style="44" customWidth="1"/>
    <col min="15107" max="15107" width="20.81640625" style="44" bestFit="1" customWidth="1"/>
    <col min="15108" max="15109" width="16.1796875" style="44" customWidth="1"/>
    <col min="15110" max="15110" width="12.1796875" style="44" customWidth="1"/>
    <col min="15111" max="15111" width="13.453125" style="44" customWidth="1"/>
    <col min="15112" max="15112" width="17.453125" style="44" bestFit="1" customWidth="1"/>
    <col min="15113" max="15113" width="1.1796875" style="44" customWidth="1"/>
    <col min="15114" max="15114" width="8.81640625" style="44" customWidth="1"/>
    <col min="15115" max="15115" width="7.453125" style="44" customWidth="1"/>
    <col min="15116" max="15116" width="13.1796875" style="44" bestFit="1" customWidth="1"/>
    <col min="15117" max="15117" width="3.453125" style="44" customWidth="1"/>
    <col min="15118" max="15118" width="7.81640625" style="44" bestFit="1" customWidth="1"/>
    <col min="15119" max="15119" width="11.81640625" style="44" bestFit="1" customWidth="1"/>
    <col min="15120" max="15360" width="9.1796875" style="44"/>
    <col min="15361" max="15361" width="21.453125" style="44" customWidth="1"/>
    <col min="15362" max="15362" width="11.453125" style="44" customWidth="1"/>
    <col min="15363" max="15363" width="20.81640625" style="44" bestFit="1" customWidth="1"/>
    <col min="15364" max="15365" width="16.1796875" style="44" customWidth="1"/>
    <col min="15366" max="15366" width="12.1796875" style="44" customWidth="1"/>
    <col min="15367" max="15367" width="13.453125" style="44" customWidth="1"/>
    <col min="15368" max="15368" width="17.453125" style="44" bestFit="1" customWidth="1"/>
    <col min="15369" max="15369" width="1.1796875" style="44" customWidth="1"/>
    <col min="15370" max="15370" width="8.81640625" style="44" customWidth="1"/>
    <col min="15371" max="15371" width="7.453125" style="44" customWidth="1"/>
    <col min="15372" max="15372" width="13.1796875" style="44" bestFit="1" customWidth="1"/>
    <col min="15373" max="15373" width="3.453125" style="44" customWidth="1"/>
    <col min="15374" max="15374" width="7.81640625" style="44" bestFit="1" customWidth="1"/>
    <col min="15375" max="15375" width="11.81640625" style="44" bestFit="1" customWidth="1"/>
    <col min="15376" max="15616" width="9.1796875" style="44"/>
    <col min="15617" max="15617" width="21.453125" style="44" customWidth="1"/>
    <col min="15618" max="15618" width="11.453125" style="44" customWidth="1"/>
    <col min="15619" max="15619" width="20.81640625" style="44" bestFit="1" customWidth="1"/>
    <col min="15620" max="15621" width="16.1796875" style="44" customWidth="1"/>
    <col min="15622" max="15622" width="12.1796875" style="44" customWidth="1"/>
    <col min="15623" max="15623" width="13.453125" style="44" customWidth="1"/>
    <col min="15624" max="15624" width="17.453125" style="44" bestFit="1" customWidth="1"/>
    <col min="15625" max="15625" width="1.1796875" style="44" customWidth="1"/>
    <col min="15626" max="15626" width="8.81640625" style="44" customWidth="1"/>
    <col min="15627" max="15627" width="7.453125" style="44" customWidth="1"/>
    <col min="15628" max="15628" width="13.1796875" style="44" bestFit="1" customWidth="1"/>
    <col min="15629" max="15629" width="3.453125" style="44" customWidth="1"/>
    <col min="15630" max="15630" width="7.81640625" style="44" bestFit="1" customWidth="1"/>
    <col min="15631" max="15631" width="11.81640625" style="44" bestFit="1" customWidth="1"/>
    <col min="15632" max="15872" width="9.1796875" style="44"/>
    <col min="15873" max="15873" width="21.453125" style="44" customWidth="1"/>
    <col min="15874" max="15874" width="11.453125" style="44" customWidth="1"/>
    <col min="15875" max="15875" width="20.81640625" style="44" bestFit="1" customWidth="1"/>
    <col min="15876" max="15877" width="16.1796875" style="44" customWidth="1"/>
    <col min="15878" max="15878" width="12.1796875" style="44" customWidth="1"/>
    <col min="15879" max="15879" width="13.453125" style="44" customWidth="1"/>
    <col min="15880" max="15880" width="17.453125" style="44" bestFit="1" customWidth="1"/>
    <col min="15881" max="15881" width="1.1796875" style="44" customWidth="1"/>
    <col min="15882" max="15882" width="8.81640625" style="44" customWidth="1"/>
    <col min="15883" max="15883" width="7.453125" style="44" customWidth="1"/>
    <col min="15884" max="15884" width="13.1796875" style="44" bestFit="1" customWidth="1"/>
    <col min="15885" max="15885" width="3.453125" style="44" customWidth="1"/>
    <col min="15886" max="15886" width="7.81640625" style="44" bestFit="1" customWidth="1"/>
    <col min="15887" max="15887" width="11.81640625" style="44" bestFit="1" customWidth="1"/>
    <col min="15888" max="16128" width="9.1796875" style="44"/>
    <col min="16129" max="16129" width="21.453125" style="44" customWidth="1"/>
    <col min="16130" max="16130" width="11.453125" style="44" customWidth="1"/>
    <col min="16131" max="16131" width="20.81640625" style="44" bestFit="1" customWidth="1"/>
    <col min="16132" max="16133" width="16.1796875" style="44" customWidth="1"/>
    <col min="16134" max="16134" width="12.1796875" style="44" customWidth="1"/>
    <col min="16135" max="16135" width="13.453125" style="44" customWidth="1"/>
    <col min="16136" max="16136" width="17.453125" style="44" bestFit="1" customWidth="1"/>
    <col min="16137" max="16137" width="1.1796875" style="44" customWidth="1"/>
    <col min="16138" max="16138" width="8.81640625" style="44" customWidth="1"/>
    <col min="16139" max="16139" width="7.453125" style="44" customWidth="1"/>
    <col min="16140" max="16140" width="13.1796875" style="44" bestFit="1" customWidth="1"/>
    <col min="16141" max="16141" width="3.453125" style="44" customWidth="1"/>
    <col min="16142" max="16142" width="7.81640625" style="44" bestFit="1" customWidth="1"/>
    <col min="16143" max="16143" width="11.81640625" style="44" bestFit="1" customWidth="1"/>
    <col min="16144" max="16384" width="9.1796875" style="44"/>
  </cols>
  <sheetData>
    <row r="1" spans="1:14" s="133" customFormat="1" ht="14.5" customHeight="1">
      <c r="A1" s="361" t="s">
        <v>105</v>
      </c>
      <c r="B1" s="361"/>
      <c r="C1" s="361"/>
      <c r="D1" s="361"/>
      <c r="E1" s="361"/>
      <c r="F1" s="361"/>
      <c r="G1" s="361"/>
      <c r="H1" s="361"/>
    </row>
    <row r="2" spans="1:14" s="133" customFormat="1" ht="14.5" customHeight="1">
      <c r="A2" s="134"/>
      <c r="B2" s="134"/>
      <c r="C2" s="134"/>
      <c r="D2" s="134"/>
      <c r="E2" s="134"/>
      <c r="F2" s="134"/>
      <c r="G2" s="134"/>
      <c r="H2" s="135"/>
    </row>
    <row r="3" spans="1:14" s="133" customFormat="1" ht="14.5" customHeight="1">
      <c r="A3" s="136" t="s">
        <v>3</v>
      </c>
      <c r="B3" s="137"/>
      <c r="C3" s="137" t="s">
        <v>4</v>
      </c>
      <c r="D3" s="137"/>
      <c r="G3" s="138"/>
      <c r="H3" s="139"/>
      <c r="I3" s="140" t="b">
        <v>0</v>
      </c>
    </row>
    <row r="4" spans="1:14" s="133" customFormat="1" ht="14.5" customHeight="1">
      <c r="A4" s="141"/>
      <c r="B4" s="142"/>
      <c r="C4" s="143"/>
      <c r="D4" s="142"/>
      <c r="E4" s="142"/>
      <c r="F4" s="142"/>
      <c r="G4" s="144"/>
      <c r="H4" s="145"/>
    </row>
    <row r="5" spans="1:14" s="133" customFormat="1" ht="14.5" customHeight="1">
      <c r="A5" s="146" t="s">
        <v>5</v>
      </c>
      <c r="B5" s="362"/>
      <c r="C5" s="363"/>
      <c r="E5" s="134" t="s">
        <v>6</v>
      </c>
      <c r="F5" s="134"/>
      <c r="G5" s="147"/>
      <c r="H5" s="148"/>
    </row>
    <row r="6" spans="1:14" s="133" customFormat="1" ht="14.5" customHeight="1">
      <c r="A6" s="149" t="s">
        <v>7</v>
      </c>
      <c r="B6" s="364"/>
      <c r="C6" s="365"/>
      <c r="H6" s="139"/>
    </row>
    <row r="7" spans="1:14" s="133" customFormat="1" ht="14.5" customHeight="1">
      <c r="A7" s="150" t="s">
        <v>8</v>
      </c>
      <c r="B7" s="366"/>
      <c r="C7" s="366"/>
      <c r="E7" s="151" t="s">
        <v>9</v>
      </c>
      <c r="F7" s="151"/>
      <c r="G7" s="152"/>
      <c r="H7" s="153"/>
    </row>
    <row r="8" spans="1:14" s="133" customFormat="1" ht="14.5" customHeight="1">
      <c r="A8" s="150" t="s">
        <v>10</v>
      </c>
      <c r="B8" s="367"/>
      <c r="C8" s="367"/>
      <c r="E8" s="154" t="s">
        <v>11</v>
      </c>
      <c r="F8" s="154"/>
      <c r="G8" s="155"/>
      <c r="H8" s="156" t="s">
        <v>103</v>
      </c>
    </row>
    <row r="9" spans="1:14" s="133" customFormat="1" ht="14.5" customHeight="1">
      <c r="A9" s="150" t="s">
        <v>104</v>
      </c>
      <c r="B9" s="367"/>
      <c r="C9" s="367"/>
      <c r="E9" s="280" t="s">
        <v>12</v>
      </c>
      <c r="F9" s="280"/>
      <c r="G9" s="157"/>
      <c r="H9" s="158" t="s">
        <v>103</v>
      </c>
      <c r="L9" s="159"/>
      <c r="M9" s="159"/>
      <c r="N9" s="159"/>
    </row>
    <row r="10" spans="1:14" s="133" customFormat="1" ht="14.5" customHeight="1">
      <c r="A10" s="160"/>
      <c r="B10" s="357"/>
      <c r="C10" s="358"/>
      <c r="E10" s="359" t="s">
        <v>13</v>
      </c>
      <c r="F10" s="359"/>
      <c r="G10" s="161"/>
      <c r="H10" s="162"/>
      <c r="L10" s="159"/>
      <c r="M10" s="159"/>
      <c r="N10" s="159"/>
    </row>
    <row r="11" spans="1:14" s="133" customFormat="1" ht="14.5" customHeight="1">
      <c r="A11" s="150" t="s">
        <v>14</v>
      </c>
      <c r="B11" s="163"/>
      <c r="E11" s="164" t="s">
        <v>15</v>
      </c>
      <c r="F11" s="164"/>
      <c r="G11" s="161"/>
      <c r="H11" s="165"/>
      <c r="L11" s="159"/>
      <c r="M11" s="159"/>
      <c r="N11" s="159"/>
    </row>
    <row r="12" spans="1:14" s="133" customFormat="1" ht="14.5" customHeight="1" thickBot="1">
      <c r="A12" s="141"/>
      <c r="H12" s="139"/>
      <c r="L12" s="159"/>
      <c r="M12" s="159"/>
      <c r="N12" s="159"/>
    </row>
    <row r="13" spans="1:14" s="63" customFormat="1" ht="16.5" thickBot="1">
      <c r="A13" s="71" t="s">
        <v>102</v>
      </c>
      <c r="B13" s="72"/>
      <c r="C13" s="73"/>
      <c r="D13" s="73"/>
      <c r="E13" s="74"/>
      <c r="F13" s="74"/>
      <c r="G13" s="74"/>
      <c r="H13" s="254">
        <f>H14+H22+H26+H31</f>
        <v>0</v>
      </c>
      <c r="L13" s="75"/>
    </row>
    <row r="14" spans="1:14" s="107" customFormat="1" ht="14.5">
      <c r="A14" s="101" t="s">
        <v>101</v>
      </c>
      <c r="B14" s="102"/>
      <c r="C14" s="103"/>
      <c r="D14" s="104"/>
      <c r="E14" s="105"/>
      <c r="F14" s="105"/>
      <c r="G14" s="105"/>
      <c r="H14" s="106">
        <f>H19</f>
        <v>0</v>
      </c>
      <c r="J14" s="107" t="s">
        <v>100</v>
      </c>
      <c r="L14" s="108"/>
    </row>
    <row r="15" spans="1:14" s="46" customFormat="1" ht="16">
      <c r="A15" s="217"/>
      <c r="B15" s="218" t="s">
        <v>21</v>
      </c>
      <c r="C15" s="219"/>
      <c r="D15" s="91"/>
      <c r="E15" s="91"/>
      <c r="F15" s="178" t="s">
        <v>118</v>
      </c>
      <c r="G15" s="178" t="s">
        <v>52</v>
      </c>
      <c r="H15" s="220" t="s">
        <v>22</v>
      </c>
    </row>
    <row r="16" spans="1:14" s="45" customFormat="1" ht="16">
      <c r="A16" s="221"/>
      <c r="B16" s="218"/>
      <c r="C16" s="223"/>
      <c r="D16" s="318"/>
      <c r="E16" s="319"/>
      <c r="F16" s="228"/>
      <c r="G16" s="226"/>
      <c r="H16" s="311"/>
    </row>
    <row r="17" spans="1:10" s="45" customFormat="1" ht="16">
      <c r="A17" s="221"/>
      <c r="B17" s="218"/>
      <c r="C17" s="332"/>
      <c r="D17" s="224"/>
      <c r="E17" s="225"/>
      <c r="F17" s="228">
        <f>'報價單 '!F17</f>
        <v>0</v>
      </c>
      <c r="G17" s="226"/>
      <c r="H17" s="311">
        <f>'報價單 '!J17</f>
        <v>0</v>
      </c>
    </row>
    <row r="18" spans="1:10" s="45" customFormat="1" ht="16">
      <c r="A18" s="221"/>
      <c r="B18" s="222"/>
      <c r="C18" s="223"/>
      <c r="D18" s="224"/>
      <c r="E18" s="225"/>
      <c r="F18" s="226"/>
      <c r="G18" s="226"/>
      <c r="H18" s="310"/>
    </row>
    <row r="19" spans="1:10" s="45" customFormat="1" ht="16">
      <c r="A19" s="221"/>
      <c r="B19" s="222"/>
      <c r="C19" s="223"/>
      <c r="D19" s="326"/>
      <c r="E19" s="225"/>
      <c r="F19" s="216"/>
      <c r="G19" s="216" t="s">
        <v>23</v>
      </c>
      <c r="H19" s="227">
        <f>SUM(H16:H17)</f>
        <v>0</v>
      </c>
    </row>
    <row r="20" spans="1:10" s="45" customFormat="1" ht="16">
      <c r="A20" s="221"/>
      <c r="B20" s="222"/>
      <c r="C20" s="223"/>
      <c r="D20" s="224"/>
      <c r="E20" s="225"/>
      <c r="F20" s="226"/>
      <c r="G20" s="226"/>
    </row>
    <row r="21" spans="1:10" s="45" customFormat="1" ht="16">
      <c r="A21" s="221"/>
      <c r="B21" s="228"/>
      <c r="C21" s="223"/>
      <c r="D21" s="224"/>
      <c r="E21" s="229"/>
      <c r="F21" s="229"/>
      <c r="G21" s="229"/>
      <c r="H21" s="230"/>
    </row>
    <row r="22" spans="1:10" s="107" customFormat="1" ht="14.5">
      <c r="A22" s="101" t="s">
        <v>99</v>
      </c>
      <c r="B22" s="111"/>
      <c r="C22" s="111"/>
      <c r="D22" s="102"/>
      <c r="E22" s="105"/>
      <c r="F22" s="112"/>
      <c r="G22" s="111"/>
      <c r="H22" s="113">
        <f>H24</f>
        <v>0</v>
      </c>
      <c r="J22" s="107" t="s">
        <v>98</v>
      </c>
    </row>
    <row r="23" spans="1:10" s="63" customFormat="1" ht="14.5">
      <c r="A23" s="114"/>
      <c r="B23" s="295"/>
      <c r="C23" s="99"/>
      <c r="D23" s="69">
        <v>1</v>
      </c>
      <c r="E23" s="70"/>
      <c r="F23" s="67"/>
      <c r="G23" s="99"/>
      <c r="H23" s="115"/>
    </row>
    <row r="24" spans="1:10" s="63" customFormat="1" ht="14.5">
      <c r="A24" s="114"/>
      <c r="C24" s="99"/>
      <c r="D24" s="116">
        <f>SUM(D23:D23)</f>
        <v>1</v>
      </c>
      <c r="E24" s="117"/>
      <c r="F24" s="67"/>
      <c r="G24" s="255" t="s">
        <v>97</v>
      </c>
      <c r="H24" s="110">
        <f>SUM(H23:H23)</f>
        <v>0</v>
      </c>
    </row>
    <row r="25" spans="1:10" s="63" customFormat="1" ht="14.5">
      <c r="A25" s="114"/>
      <c r="B25" s="99"/>
      <c r="C25" s="99"/>
      <c r="E25" s="117"/>
      <c r="F25" s="67"/>
      <c r="G25" s="99"/>
      <c r="H25" s="118"/>
    </row>
    <row r="26" spans="1:10" s="68" customFormat="1" ht="14.5">
      <c r="A26" s="101" t="s">
        <v>96</v>
      </c>
      <c r="B26" s="119"/>
      <c r="C26" s="120"/>
      <c r="D26" s="121"/>
      <c r="E26" s="122"/>
      <c r="F26" s="123"/>
      <c r="G26" s="120"/>
      <c r="H26" s="113">
        <f>H29</f>
        <v>0</v>
      </c>
      <c r="J26" s="107" t="s">
        <v>95</v>
      </c>
    </row>
    <row r="27" spans="1:10" s="63" customFormat="1" ht="14.5">
      <c r="A27" s="114"/>
      <c r="B27" s="66"/>
      <c r="C27" s="99"/>
      <c r="D27" s="69"/>
      <c r="E27" s="70"/>
      <c r="F27" s="67"/>
      <c r="G27" s="99"/>
      <c r="H27" s="115">
        <v>0</v>
      </c>
    </row>
    <row r="28" spans="1:10" s="63" customFormat="1" ht="14.5">
      <c r="A28" s="114"/>
      <c r="B28" s="180"/>
      <c r="C28" s="99"/>
      <c r="D28" s="69"/>
      <c r="E28" s="70"/>
      <c r="F28" s="67"/>
      <c r="G28" s="99"/>
      <c r="H28" s="115">
        <v>0</v>
      </c>
    </row>
    <row r="29" spans="1:10" s="63" customFormat="1" ht="14.5">
      <c r="A29" s="114"/>
      <c r="B29" s="99"/>
      <c r="C29" s="99"/>
      <c r="D29" s="69">
        <f>SUM(D27:D27)</f>
        <v>0</v>
      </c>
      <c r="E29" s="117"/>
      <c r="F29" s="67"/>
      <c r="G29" s="255" t="s">
        <v>94</v>
      </c>
      <c r="H29" s="110">
        <f>SUM(H27:H28)</f>
        <v>0</v>
      </c>
    </row>
    <row r="30" spans="1:10" s="63" customFormat="1" ht="14.5">
      <c r="A30" s="114"/>
      <c r="B30" s="99"/>
      <c r="C30" s="99"/>
      <c r="D30" s="69"/>
      <c r="E30" s="117"/>
      <c r="F30" s="67"/>
      <c r="G30" s="109"/>
      <c r="H30" s="110"/>
    </row>
    <row r="31" spans="1:10" s="63" customFormat="1" ht="14.5">
      <c r="A31" s="101" t="s">
        <v>93</v>
      </c>
      <c r="B31" s="124"/>
      <c r="C31" s="125"/>
      <c r="D31" s="125"/>
      <c r="E31" s="126"/>
      <c r="F31" s="127"/>
      <c r="G31" s="128"/>
      <c r="H31" s="113">
        <f>H34</f>
        <v>0</v>
      </c>
      <c r="J31" s="107" t="s">
        <v>92</v>
      </c>
    </row>
    <row r="32" spans="1:10" s="63" customFormat="1" ht="14.5">
      <c r="A32" s="129"/>
      <c r="B32" s="130"/>
      <c r="C32" s="130"/>
      <c r="E32" s="130"/>
      <c r="F32" s="131"/>
      <c r="G32" s="99"/>
      <c r="H32" s="115">
        <v>0</v>
      </c>
    </row>
    <row r="33" spans="1:12" s="63" customFormat="1" ht="14.5">
      <c r="A33" s="129"/>
      <c r="C33" s="130"/>
      <c r="E33" s="130"/>
      <c r="F33" s="131"/>
      <c r="G33" s="99"/>
      <c r="H33" s="115"/>
    </row>
    <row r="34" spans="1:12" s="63" customFormat="1" ht="15" thickBot="1">
      <c r="A34" s="129"/>
      <c r="B34" s="130"/>
      <c r="C34" s="132"/>
      <c r="E34" s="130"/>
      <c r="F34" s="130"/>
      <c r="G34" s="255" t="s">
        <v>91</v>
      </c>
      <c r="H34" s="110">
        <f>SUM(H32:H33)</f>
        <v>0</v>
      </c>
    </row>
    <row r="35" spans="1:12" s="63" customFormat="1" ht="15" thickBot="1">
      <c r="A35" s="76" t="s">
        <v>90</v>
      </c>
      <c r="B35" s="77"/>
      <c r="C35" s="78"/>
      <c r="D35" s="79"/>
      <c r="E35" s="80"/>
      <c r="F35" s="79"/>
      <c r="G35" s="79"/>
      <c r="H35" s="81">
        <f>H51+H55+H61+H66+H79+H85+H90</f>
        <v>0</v>
      </c>
    </row>
    <row r="36" spans="1:12" s="63" customFormat="1" ht="14.5">
      <c r="A36" s="82" t="s">
        <v>89</v>
      </c>
      <c r="B36" s="83"/>
      <c r="C36" s="84"/>
      <c r="D36" s="85"/>
      <c r="E36" s="86"/>
      <c r="F36" s="87"/>
      <c r="G36" s="88"/>
      <c r="H36" s="89"/>
    </row>
    <row r="37" spans="1:12" s="62" customFormat="1" ht="14.5">
      <c r="A37" s="90" t="s">
        <v>88</v>
      </c>
      <c r="B37" s="91" t="s">
        <v>87</v>
      </c>
      <c r="C37" s="91" t="s">
        <v>86</v>
      </c>
      <c r="D37" s="91" t="s">
        <v>85</v>
      </c>
      <c r="E37" s="91" t="s">
        <v>84</v>
      </c>
      <c r="F37" s="91" t="s">
        <v>83</v>
      </c>
      <c r="G37" s="92" t="s">
        <v>82</v>
      </c>
      <c r="H37" s="93"/>
      <c r="K37" s="94"/>
      <c r="L37" s="94"/>
    </row>
    <row r="38" spans="1:12" s="62" customFormat="1" ht="14.5">
      <c r="A38" s="90"/>
      <c r="B38" s="91"/>
      <c r="C38" s="91"/>
      <c r="D38" s="91"/>
      <c r="E38" s="91"/>
      <c r="F38" s="91"/>
      <c r="G38" s="92"/>
      <c r="H38" s="331">
        <f>D38*F38</f>
        <v>0</v>
      </c>
      <c r="K38" s="94"/>
      <c r="L38" s="94"/>
    </row>
    <row r="39" spans="1:12" s="62" customFormat="1" ht="14.5">
      <c r="A39" s="90"/>
      <c r="B39" s="91"/>
      <c r="C39" s="91"/>
      <c r="D39" s="91"/>
      <c r="E39" s="91"/>
      <c r="F39" s="91"/>
      <c r="G39" s="92"/>
      <c r="H39" s="331">
        <f>D39*F39</f>
        <v>0</v>
      </c>
      <c r="K39" s="94"/>
      <c r="L39" s="94"/>
    </row>
    <row r="40" spans="1:12" s="212" customFormat="1" ht="16">
      <c r="A40" s="204"/>
      <c r="B40" s="206"/>
      <c r="C40" s="215"/>
      <c r="D40" s="211"/>
      <c r="F40" s="210"/>
      <c r="G40" s="206"/>
      <c r="H40" s="213"/>
      <c r="K40" s="214"/>
      <c r="L40" s="214"/>
    </row>
    <row r="41" spans="1:12" s="64" customFormat="1" ht="15.5">
      <c r="A41" s="95"/>
      <c r="B41" s="96"/>
      <c r="C41" s="96"/>
      <c r="D41" s="97"/>
      <c r="E41" s="252" t="s">
        <v>81</v>
      </c>
      <c r="F41" s="312">
        <f>SUM(H40)</f>
        <v>0</v>
      </c>
      <c r="G41" s="249"/>
      <c r="H41" s="248">
        <f>SUM(H38:H40)</f>
        <v>0</v>
      </c>
      <c r="K41" s="65"/>
      <c r="L41" s="65"/>
    </row>
    <row r="42" spans="1:12" s="212" customFormat="1" ht="16" hidden="1">
      <c r="A42" s="204"/>
      <c r="B42" s="210"/>
      <c r="C42" s="210"/>
      <c r="D42" s="211"/>
      <c r="F42" s="210"/>
      <c r="G42" s="210"/>
      <c r="H42" s="213">
        <f>D42*F42*G42</f>
        <v>0</v>
      </c>
      <c r="K42" s="214"/>
      <c r="L42" s="214"/>
    </row>
    <row r="43" spans="1:12" s="212" customFormat="1" ht="16" hidden="1">
      <c r="A43" s="204"/>
      <c r="B43" s="210"/>
      <c r="C43" s="210"/>
      <c r="D43" s="211"/>
      <c r="F43" s="210"/>
      <c r="G43" s="210"/>
      <c r="H43" s="213">
        <f>D43*F43*G43</f>
        <v>0</v>
      </c>
      <c r="K43" s="214"/>
      <c r="L43" s="214"/>
    </row>
    <row r="44" spans="1:12" s="212" customFormat="1" ht="16" hidden="1">
      <c r="A44" s="204"/>
      <c r="B44" s="210"/>
      <c r="C44" s="210"/>
      <c r="D44" s="211"/>
      <c r="F44" s="210"/>
      <c r="G44" s="210"/>
      <c r="H44" s="213">
        <f>F44*D44</f>
        <v>0</v>
      </c>
      <c r="K44" s="214"/>
      <c r="L44" s="214"/>
    </row>
    <row r="45" spans="1:12" s="45" customFormat="1" ht="16" hidden="1">
      <c r="A45" s="205"/>
      <c r="B45" s="206"/>
      <c r="C45" s="206"/>
      <c r="D45" s="207"/>
      <c r="F45" s="206"/>
      <c r="G45" s="206"/>
      <c r="H45" s="208">
        <f>D45*F45*G45</f>
        <v>0</v>
      </c>
      <c r="K45" s="209"/>
      <c r="L45" s="209"/>
    </row>
    <row r="46" spans="1:12" s="45" customFormat="1" ht="16" hidden="1">
      <c r="A46" s="205"/>
      <c r="B46" s="222"/>
      <c r="C46" s="206"/>
      <c r="D46" s="207"/>
      <c r="F46" s="206"/>
      <c r="G46" s="206"/>
      <c r="H46" s="208">
        <f>F46*D46</f>
        <v>0</v>
      </c>
      <c r="K46" s="209"/>
      <c r="L46" s="209"/>
    </row>
    <row r="47" spans="1:12" s="45" customFormat="1" ht="16" hidden="1">
      <c r="A47" s="205"/>
      <c r="B47" s="206"/>
      <c r="C47" s="206"/>
      <c r="D47" s="207"/>
      <c r="F47" s="206"/>
      <c r="G47" s="206"/>
      <c r="H47" s="208">
        <f>D47*F47*G47</f>
        <v>0</v>
      </c>
      <c r="K47" s="209"/>
      <c r="L47" s="209"/>
    </row>
    <row r="48" spans="1:12" s="45" customFormat="1" ht="16" hidden="1">
      <c r="A48" s="205"/>
      <c r="B48" s="206"/>
      <c r="C48" s="206"/>
      <c r="D48" s="207"/>
      <c r="F48" s="206"/>
      <c r="G48" s="206"/>
      <c r="H48" s="208">
        <f>D48*F48*G48</f>
        <v>0</v>
      </c>
      <c r="K48" s="209"/>
      <c r="L48" s="209"/>
    </row>
    <row r="49" spans="1:13" s="63" customFormat="1" ht="15.5" hidden="1">
      <c r="A49" s="95"/>
      <c r="B49" s="96"/>
      <c r="C49" s="96"/>
      <c r="D49" s="97"/>
      <c r="E49" s="252" t="s">
        <v>80</v>
      </c>
      <c r="F49" s="249">
        <f>SUM(F42:F48)</f>
        <v>0</v>
      </c>
      <c r="G49" s="249"/>
      <c r="H49" s="248">
        <f>SUM(H42:H48)</f>
        <v>0</v>
      </c>
      <c r="K49" s="62"/>
      <c r="L49" s="62"/>
      <c r="M49" s="62"/>
    </row>
    <row r="50" spans="1:13" s="63" customFormat="1" ht="14.5" hidden="1">
      <c r="A50" s="98"/>
      <c r="B50" s="62"/>
      <c r="C50" s="62"/>
      <c r="D50" s="99"/>
      <c r="G50" s="309"/>
      <c r="H50" s="308"/>
      <c r="L50" s="62"/>
    </row>
    <row r="51" spans="1:13" s="63" customFormat="1" ht="16" hidden="1">
      <c r="A51" s="98"/>
      <c r="B51" s="62"/>
      <c r="C51" s="62"/>
      <c r="D51" s="99"/>
      <c r="F51" s="250">
        <f>F41+F49</f>
        <v>0</v>
      </c>
      <c r="G51" s="231" t="s">
        <v>79</v>
      </c>
      <c r="H51" s="251">
        <f>H41+H49</f>
        <v>0</v>
      </c>
      <c r="J51" s="100"/>
      <c r="L51" s="62"/>
      <c r="M51" s="62"/>
    </row>
    <row r="52" spans="1:13" s="63" customFormat="1" ht="16" hidden="1">
      <c r="A52" s="307"/>
      <c r="B52" s="62"/>
      <c r="C52" s="62"/>
      <c r="D52" s="99"/>
      <c r="F52" s="250"/>
      <c r="G52" s="231"/>
      <c r="H52" s="251"/>
      <c r="J52" s="100"/>
      <c r="L52" s="62"/>
      <c r="M52" s="62"/>
    </row>
    <row r="53" spans="1:13" s="45" customFormat="1" ht="16" hidden="1">
      <c r="A53" s="306"/>
      <c r="B53" s="305"/>
      <c r="C53" s="304"/>
      <c r="D53" s="303"/>
      <c r="E53" s="302"/>
      <c r="F53" s="302"/>
      <c r="G53" s="301"/>
      <c r="H53" s="300"/>
    </row>
    <row r="54" spans="1:13" s="45" customFormat="1" ht="16">
      <c r="A54" s="221"/>
      <c r="B54" s="305"/>
      <c r="C54" s="304"/>
      <c r="D54" s="303"/>
      <c r="E54" s="302"/>
      <c r="F54" s="302"/>
      <c r="G54" s="301"/>
      <c r="H54" s="300"/>
    </row>
    <row r="55" spans="1:13" s="63" customFormat="1" ht="14.5">
      <c r="A55" s="98"/>
      <c r="B55" s="62"/>
      <c r="C55" s="62"/>
      <c r="D55" s="99"/>
      <c r="F55" s="299"/>
      <c r="G55" s="231"/>
      <c r="H55" s="298"/>
      <c r="J55" s="100"/>
      <c r="L55" s="62"/>
      <c r="M55" s="62"/>
    </row>
    <row r="56" spans="1:13" s="133" customFormat="1" ht="14.5">
      <c r="A56" s="297"/>
      <c r="B56" s="168"/>
      <c r="C56" s="168"/>
      <c r="D56" s="169"/>
      <c r="F56" s="170"/>
      <c r="H56" s="171"/>
      <c r="J56" s="296"/>
      <c r="K56" s="143"/>
      <c r="L56" s="168"/>
      <c r="M56" s="168"/>
    </row>
    <row r="57" spans="1:13" s="133" customFormat="1" ht="14.5">
      <c r="A57" s="172" t="s">
        <v>78</v>
      </c>
      <c r="B57" s="173"/>
      <c r="C57" s="174"/>
      <c r="D57" s="173"/>
      <c r="E57" s="174"/>
      <c r="F57" s="174"/>
      <c r="G57" s="174"/>
      <c r="H57" s="175"/>
      <c r="J57" s="176"/>
    </row>
    <row r="58" spans="1:13" s="178" customFormat="1" ht="14.5">
      <c r="A58" s="177" t="s">
        <v>55</v>
      </c>
      <c r="C58" s="178" t="s">
        <v>75</v>
      </c>
      <c r="D58" s="178" t="s">
        <v>54</v>
      </c>
      <c r="F58" s="178" t="s">
        <v>53</v>
      </c>
      <c r="G58" s="178" t="s">
        <v>52</v>
      </c>
      <c r="H58" s="179"/>
    </row>
    <row r="59" spans="1:13" s="178" customFormat="1" ht="14.5">
      <c r="A59" s="295"/>
      <c r="B59" s="142"/>
      <c r="C59" s="142"/>
      <c r="D59" s="142"/>
      <c r="E59" s="142"/>
      <c r="F59" s="142">
        <v>1</v>
      </c>
      <c r="G59" s="321"/>
      <c r="H59" s="294"/>
    </row>
    <row r="60" spans="1:13" s="178" customFormat="1" ht="14.5">
      <c r="A60" s="295"/>
      <c r="B60" s="142"/>
      <c r="C60" s="142"/>
      <c r="D60" s="142"/>
      <c r="E60" s="142"/>
      <c r="F60" s="142"/>
      <c r="G60" s="142"/>
      <c r="H60" s="294"/>
    </row>
    <row r="61" spans="1:13" s="133" customFormat="1" ht="14.5">
      <c r="A61" s="180"/>
      <c r="B61" s="168"/>
      <c r="D61" s="169"/>
      <c r="F61" s="170"/>
      <c r="G61" s="253" t="s">
        <v>77</v>
      </c>
      <c r="H61" s="181">
        <f>G59</f>
        <v>0</v>
      </c>
    </row>
    <row r="62" spans="1:13" s="133" customFormat="1" ht="14.5">
      <c r="A62" s="172" t="s">
        <v>76</v>
      </c>
      <c r="B62" s="173"/>
      <c r="C62" s="174"/>
      <c r="D62" s="173"/>
      <c r="E62" s="174"/>
      <c r="F62" s="174"/>
      <c r="G62" s="174"/>
      <c r="H62" s="175"/>
    </row>
    <row r="63" spans="1:13" s="178" customFormat="1" ht="14.5">
      <c r="A63" s="177" t="s">
        <v>55</v>
      </c>
      <c r="C63" s="178" t="s">
        <v>75</v>
      </c>
      <c r="D63" s="178" t="s">
        <v>54</v>
      </c>
      <c r="F63" s="178" t="s">
        <v>53</v>
      </c>
      <c r="G63" s="178" t="s">
        <v>52</v>
      </c>
      <c r="H63" s="179"/>
    </row>
    <row r="64" spans="1:13" s="133" customFormat="1" ht="14.5">
      <c r="A64" s="180"/>
      <c r="B64" s="182"/>
      <c r="C64" s="168"/>
      <c r="D64" s="143"/>
      <c r="F64" s="168"/>
      <c r="G64" s="183"/>
      <c r="H64" s="171"/>
    </row>
    <row r="65" spans="1:8" s="133" customFormat="1" ht="14.5">
      <c r="A65" s="180"/>
      <c r="B65" s="182"/>
      <c r="C65" s="168"/>
      <c r="D65" s="143"/>
      <c r="F65" s="168"/>
      <c r="G65" s="183"/>
      <c r="H65" s="171"/>
    </row>
    <row r="66" spans="1:8" s="133" customFormat="1" ht="14.5">
      <c r="B66" s="168"/>
      <c r="D66" s="169"/>
      <c r="F66" s="170"/>
      <c r="G66" s="253" t="s">
        <v>74</v>
      </c>
      <c r="H66" s="181">
        <f>SUM(G64:G65)</f>
        <v>0</v>
      </c>
    </row>
    <row r="67" spans="1:8" s="133" customFormat="1" ht="14.5">
      <c r="A67" s="180"/>
      <c r="B67" s="168"/>
      <c r="D67" s="169"/>
      <c r="H67" s="171"/>
    </row>
    <row r="68" spans="1:8" s="133" customFormat="1" ht="14.5">
      <c r="A68" s="184" t="s">
        <v>73</v>
      </c>
      <c r="B68" s="185"/>
      <c r="C68" s="185"/>
      <c r="D68" s="186"/>
      <c r="E68" s="187"/>
      <c r="F68" s="187"/>
      <c r="G68" s="187"/>
      <c r="H68" s="188"/>
    </row>
    <row r="69" spans="1:8" s="133" customFormat="1" ht="14.5">
      <c r="A69" s="177" t="s">
        <v>55</v>
      </c>
      <c r="B69" s="168"/>
      <c r="C69" s="178"/>
      <c r="D69" s="178" t="s">
        <v>54</v>
      </c>
      <c r="F69" s="178" t="s">
        <v>53</v>
      </c>
      <c r="G69" s="178" t="s">
        <v>52</v>
      </c>
      <c r="H69" s="171"/>
    </row>
    <row r="70" spans="1:8" s="234" customFormat="1" ht="15.5" hidden="1">
      <c r="A70" s="232" t="s">
        <v>72</v>
      </c>
      <c r="B70" s="233"/>
      <c r="D70" s="293" t="s">
        <v>71</v>
      </c>
      <c r="E70" s="235"/>
      <c r="F70" s="236"/>
      <c r="G70" s="235">
        <v>500</v>
      </c>
      <c r="H70" s="237">
        <f t="shared" ref="H70:H76" si="0">F70*G70</f>
        <v>0</v>
      </c>
    </row>
    <row r="71" spans="1:8" s="234" customFormat="1" ht="15.5" hidden="1">
      <c r="A71" s="238" t="s">
        <v>67</v>
      </c>
      <c r="B71" s="239" t="s">
        <v>70</v>
      </c>
      <c r="C71" s="240"/>
      <c r="D71" s="240" t="s">
        <v>69</v>
      </c>
      <c r="E71" s="241"/>
      <c r="F71" s="236"/>
      <c r="G71" s="235">
        <v>3000</v>
      </c>
      <c r="H71" s="237">
        <f t="shared" si="0"/>
        <v>0</v>
      </c>
    </row>
    <row r="72" spans="1:8" s="234" customFormat="1" ht="15.5" hidden="1">
      <c r="A72" s="238" t="s">
        <v>67</v>
      </c>
      <c r="B72" s="239" t="s">
        <v>63</v>
      </c>
      <c r="C72" s="240"/>
      <c r="D72" s="240" t="s">
        <v>68</v>
      </c>
      <c r="E72" s="241"/>
      <c r="F72" s="236"/>
      <c r="G72" s="235">
        <v>600</v>
      </c>
      <c r="H72" s="237">
        <f t="shared" si="0"/>
        <v>0</v>
      </c>
    </row>
    <row r="73" spans="1:8" s="234" customFormat="1" ht="15.5" hidden="1">
      <c r="A73" s="238" t="s">
        <v>67</v>
      </c>
      <c r="B73" s="239" t="s">
        <v>60</v>
      </c>
      <c r="C73" s="240"/>
      <c r="D73" s="240" t="s">
        <v>66</v>
      </c>
      <c r="E73" s="241"/>
      <c r="F73" s="236"/>
      <c r="G73" s="235">
        <v>1500</v>
      </c>
      <c r="H73" s="237">
        <f t="shared" si="0"/>
        <v>0</v>
      </c>
    </row>
    <row r="74" spans="1:8" s="234" customFormat="1" ht="15.5" hidden="1">
      <c r="A74" s="242" t="s">
        <v>61</v>
      </c>
      <c r="B74" s="243" t="s">
        <v>65</v>
      </c>
      <c r="D74" s="244" t="s">
        <v>64</v>
      </c>
      <c r="E74" s="235"/>
      <c r="F74" s="236"/>
      <c r="G74" s="235">
        <v>20000</v>
      </c>
      <c r="H74" s="237">
        <f t="shared" si="0"/>
        <v>0</v>
      </c>
    </row>
    <row r="75" spans="1:8" s="234" customFormat="1" ht="15.5" hidden="1">
      <c r="A75" s="242" t="s">
        <v>61</v>
      </c>
      <c r="B75" s="243" t="s">
        <v>63</v>
      </c>
      <c r="D75" s="244" t="s">
        <v>62</v>
      </c>
      <c r="E75" s="235"/>
      <c r="F75" s="236"/>
      <c r="G75" s="235">
        <v>1200</v>
      </c>
      <c r="H75" s="237">
        <f t="shared" si="0"/>
        <v>0</v>
      </c>
    </row>
    <row r="76" spans="1:8" s="234" customFormat="1" ht="15.5" hidden="1">
      <c r="A76" s="242" t="s">
        <v>61</v>
      </c>
      <c r="B76" s="243" t="s">
        <v>60</v>
      </c>
      <c r="C76" s="245"/>
      <c r="D76" s="244" t="s">
        <v>59</v>
      </c>
      <c r="E76" s="235"/>
      <c r="F76" s="236"/>
      <c r="G76" s="235">
        <v>3000</v>
      </c>
      <c r="H76" s="237">
        <f t="shared" si="0"/>
        <v>0</v>
      </c>
    </row>
    <row r="77" spans="1:8" s="234" customFormat="1" ht="15.5" hidden="1">
      <c r="A77" s="232" t="s">
        <v>58</v>
      </c>
      <c r="B77" s="233"/>
      <c r="E77" s="235"/>
      <c r="G77" s="246"/>
      <c r="H77" s="247"/>
    </row>
    <row r="78" spans="1:8" s="133" customFormat="1" ht="14.5" hidden="1">
      <c r="A78" s="180"/>
      <c r="B78" s="168"/>
      <c r="D78" s="169"/>
      <c r="H78" s="171"/>
    </row>
    <row r="79" spans="1:8" s="133" customFormat="1" ht="14.5">
      <c r="A79" s="180"/>
      <c r="B79" s="143"/>
      <c r="C79" s="143"/>
      <c r="D79" s="143"/>
      <c r="E79" s="143"/>
      <c r="F79" s="170"/>
      <c r="G79" s="253" t="s">
        <v>57</v>
      </c>
      <c r="H79" s="181">
        <f>SUM(H70:H78)</f>
        <v>0</v>
      </c>
    </row>
    <row r="80" spans="1:8" s="133" customFormat="1" ht="14.5">
      <c r="A80" s="180"/>
      <c r="B80" s="168"/>
      <c r="D80" s="169"/>
      <c r="H80" s="171"/>
    </row>
    <row r="81" spans="1:8" s="133" customFormat="1" ht="14.5">
      <c r="A81" s="184" t="s">
        <v>56</v>
      </c>
      <c r="B81" s="189"/>
      <c r="C81" s="174"/>
      <c r="D81" s="174"/>
      <c r="E81" s="190"/>
      <c r="F81" s="191"/>
      <c r="G81" s="191"/>
      <c r="H81" s="188"/>
    </row>
    <row r="82" spans="1:8" s="133" customFormat="1" ht="14.5">
      <c r="A82" s="177" t="s">
        <v>55</v>
      </c>
      <c r="B82" s="168"/>
      <c r="C82" s="178"/>
      <c r="D82" s="178" t="s">
        <v>54</v>
      </c>
      <c r="F82" s="178" t="s">
        <v>53</v>
      </c>
      <c r="G82" s="178" t="s">
        <v>52</v>
      </c>
      <c r="H82" s="171"/>
    </row>
    <row r="83" spans="1:8" s="234" customFormat="1" ht="15.5">
      <c r="A83" s="129"/>
      <c r="B83" s="233"/>
      <c r="E83" s="235"/>
      <c r="F83" s="236"/>
      <c r="G83" s="235"/>
      <c r="H83" s="237"/>
    </row>
    <row r="84" spans="1:8" s="234" customFormat="1" ht="15.5">
      <c r="A84" s="232"/>
      <c r="B84" s="233"/>
      <c r="E84" s="235"/>
      <c r="F84" s="236"/>
      <c r="G84" s="235"/>
      <c r="H84" s="237"/>
    </row>
    <row r="85" spans="1:8" s="133" customFormat="1" ht="16">
      <c r="A85" s="180"/>
      <c r="B85" s="143"/>
      <c r="E85" s="183"/>
      <c r="F85" s="170"/>
      <c r="G85" s="253" t="s">
        <v>51</v>
      </c>
      <c r="H85" s="256">
        <f>SUM(H83:H84)</f>
        <v>0</v>
      </c>
    </row>
    <row r="86" spans="1:8" s="133" customFormat="1" ht="6.75" customHeight="1">
      <c r="A86" s="180"/>
      <c r="B86" s="168"/>
      <c r="D86" s="169"/>
      <c r="H86" s="171"/>
    </row>
    <row r="87" spans="1:8" s="133" customFormat="1" ht="14.5">
      <c r="A87" s="192" t="s">
        <v>50</v>
      </c>
      <c r="B87" s="192" t="s">
        <v>49</v>
      </c>
      <c r="C87" s="185"/>
      <c r="D87" s="174"/>
      <c r="E87" s="174"/>
      <c r="F87" s="191"/>
      <c r="G87" s="191"/>
      <c r="H87" s="188"/>
    </row>
    <row r="88" spans="1:8" s="133" customFormat="1" ht="14.5">
      <c r="A88" s="180"/>
      <c r="B88" s="169"/>
      <c r="C88" s="193"/>
      <c r="E88" s="183"/>
      <c r="F88" s="178" t="s">
        <v>48</v>
      </c>
      <c r="G88" s="178" t="s">
        <v>33</v>
      </c>
      <c r="H88" s="194"/>
    </row>
    <row r="89" spans="1:8" s="284" customFormat="1" ht="16">
      <c r="A89" s="292" t="s">
        <v>47</v>
      </c>
      <c r="B89" s="291" t="s">
        <v>46</v>
      </c>
      <c r="C89" s="290"/>
      <c r="D89" s="289"/>
      <c r="E89" s="288"/>
      <c r="F89" s="287">
        <v>0.05</v>
      </c>
      <c r="G89" s="286">
        <f>H51</f>
        <v>0</v>
      </c>
      <c r="H89" s="285">
        <f>F89*G89</f>
        <v>0</v>
      </c>
    </row>
    <row r="90" spans="1:8" s="133" customFormat="1" ht="16">
      <c r="A90" s="180"/>
      <c r="B90" s="195" t="s">
        <v>45</v>
      </c>
      <c r="C90" s="193"/>
      <c r="E90" s="183"/>
      <c r="F90" s="170"/>
      <c r="G90" s="253" t="s">
        <v>44</v>
      </c>
      <c r="H90" s="256">
        <f>SUM(H89)</f>
        <v>0</v>
      </c>
    </row>
    <row r="91" spans="1:8" s="133" customFormat="1" ht="14.5">
      <c r="A91" s="180"/>
      <c r="B91" s="169"/>
      <c r="C91" s="193"/>
      <c r="E91" s="183"/>
      <c r="F91" s="283"/>
      <c r="G91" s="283"/>
      <c r="H91" s="194"/>
    </row>
    <row r="92" spans="1:8" s="133" customFormat="1" ht="16">
      <c r="A92" s="166" t="s">
        <v>43</v>
      </c>
      <c r="B92" s="196"/>
      <c r="C92" s="196"/>
      <c r="D92" s="197"/>
      <c r="E92" s="197"/>
      <c r="F92" s="198"/>
      <c r="G92" s="167"/>
      <c r="H92" s="257">
        <f>H13-H35</f>
        <v>0</v>
      </c>
    </row>
    <row r="93" spans="1:8" s="133" customFormat="1" ht="16">
      <c r="A93" s="166" t="s">
        <v>42</v>
      </c>
      <c r="B93" s="196"/>
      <c r="C93" s="196"/>
      <c r="D93" s="197"/>
      <c r="E93" s="197"/>
      <c r="F93" s="198"/>
      <c r="G93" s="167"/>
      <c r="H93" s="258" t="e">
        <f>H92/H13</f>
        <v>#DIV/0!</v>
      </c>
    </row>
    <row r="94" spans="1:8" s="133" customFormat="1" ht="14.5"/>
    <row r="95" spans="1:8" s="133" customFormat="1" ht="14.5">
      <c r="A95" s="281" t="s">
        <v>16</v>
      </c>
      <c r="B95" s="199"/>
      <c r="C95" s="200"/>
      <c r="D95" s="199"/>
      <c r="E95" s="281" t="s">
        <v>38</v>
      </c>
      <c r="F95" s="360"/>
      <c r="G95" s="360"/>
      <c r="H95" s="201"/>
    </row>
    <row r="96" spans="1:8" s="133" customFormat="1" ht="14.5">
      <c r="A96" s="199" t="s">
        <v>41</v>
      </c>
      <c r="B96" s="202"/>
      <c r="C96" s="203" t="s">
        <v>17</v>
      </c>
      <c r="D96" s="199"/>
      <c r="E96" s="142" t="s">
        <v>40</v>
      </c>
      <c r="F96" s="203" t="s">
        <v>39</v>
      </c>
      <c r="G96" s="199"/>
      <c r="H96" s="142" t="s">
        <v>17</v>
      </c>
    </row>
    <row r="97" spans="1:10" s="133" customFormat="1" ht="14.5">
      <c r="A97" s="199"/>
      <c r="B97" s="199"/>
      <c r="C97" s="199"/>
      <c r="D97" s="199"/>
      <c r="E97" s="199"/>
      <c r="F97" s="199"/>
      <c r="G97" s="199"/>
      <c r="H97" s="199"/>
    </row>
    <row r="98" spans="1:10" s="133" customFormat="1" ht="14.5">
      <c r="A98" s="281" t="s">
        <v>16</v>
      </c>
      <c r="B98" s="199"/>
      <c r="C98" s="200"/>
      <c r="D98" s="199"/>
      <c r="E98" s="281" t="s">
        <v>38</v>
      </c>
      <c r="F98" s="360"/>
      <c r="G98" s="360"/>
      <c r="H98" s="201"/>
    </row>
    <row r="99" spans="1:10" s="133" customFormat="1" ht="14.5">
      <c r="A99" s="199" t="s">
        <v>37</v>
      </c>
      <c r="B99" s="202"/>
      <c r="C99" s="203" t="s">
        <v>17</v>
      </c>
      <c r="D99" s="199"/>
      <c r="E99" s="203" t="s">
        <v>36</v>
      </c>
      <c r="F99" s="142" t="s">
        <v>35</v>
      </c>
      <c r="G99" s="199"/>
      <c r="H99" s="142" t="s">
        <v>17</v>
      </c>
    </row>
    <row r="100" spans="1:10" s="133" customFormat="1" ht="14.5">
      <c r="A100" s="199"/>
      <c r="B100" s="199"/>
      <c r="C100" s="199"/>
      <c r="D100" s="199"/>
      <c r="E100" s="199"/>
      <c r="F100" s="199"/>
      <c r="G100" s="199"/>
      <c r="H100" s="199"/>
    </row>
    <row r="101" spans="1:10" s="45" customFormat="1" ht="16">
      <c r="A101" s="46"/>
      <c r="B101" s="47" t="s">
        <v>34</v>
      </c>
      <c r="C101" s="47" t="s">
        <v>33</v>
      </c>
      <c r="D101" s="47" t="s">
        <v>32</v>
      </c>
      <c r="E101" s="47" t="s">
        <v>31</v>
      </c>
      <c r="F101" s="47" t="s">
        <v>30</v>
      </c>
      <c r="G101" s="47" t="s">
        <v>29</v>
      </c>
      <c r="H101" s="48" t="s">
        <v>28</v>
      </c>
    </row>
    <row r="102" spans="1:10" s="52" customFormat="1" ht="16">
      <c r="A102" s="259"/>
      <c r="B102" s="49" t="s">
        <v>27</v>
      </c>
      <c r="C102" s="50">
        <f>H14</f>
        <v>0</v>
      </c>
      <c r="D102" s="50">
        <f>H22</f>
        <v>0</v>
      </c>
      <c r="E102" s="50">
        <f>H26</f>
        <v>0</v>
      </c>
      <c r="F102" s="50">
        <f>H31</f>
        <v>0</v>
      </c>
      <c r="G102" s="50">
        <f>SUM(C102:F102)</f>
        <v>0</v>
      </c>
      <c r="H102" s="51">
        <f>G102-H13</f>
        <v>0</v>
      </c>
    </row>
    <row r="103" spans="1:10" s="53" customFormat="1" ht="16">
      <c r="B103" s="54" t="s">
        <v>26</v>
      </c>
      <c r="C103" s="55">
        <f>H51+H55</f>
        <v>0</v>
      </c>
      <c r="D103" s="55">
        <f>H61</f>
        <v>0</v>
      </c>
      <c r="E103" s="55">
        <f>H66</f>
        <v>0</v>
      </c>
      <c r="F103" s="55">
        <f>H90+H85</f>
        <v>0</v>
      </c>
      <c r="G103" s="55">
        <f>SUM(C103:F103)</f>
        <v>0</v>
      </c>
      <c r="H103" s="51"/>
      <c r="I103" s="48"/>
      <c r="J103" s="282"/>
    </row>
    <row r="104" spans="1:10" s="46" customFormat="1" ht="16">
      <c r="B104" s="56" t="s">
        <v>25</v>
      </c>
      <c r="C104" s="57">
        <f>C102-C103</f>
        <v>0</v>
      </c>
      <c r="D104" s="57">
        <f>D102-D103</f>
        <v>0</v>
      </c>
      <c r="E104" s="57">
        <f>E102-E103</f>
        <v>0</v>
      </c>
      <c r="F104" s="57">
        <f>F102-F103</f>
        <v>0</v>
      </c>
      <c r="G104" s="57">
        <f>G102-G103</f>
        <v>0</v>
      </c>
      <c r="H104" s="51"/>
    </row>
    <row r="105" spans="1:10" s="58" customFormat="1" ht="16">
      <c r="B105" s="59" t="s">
        <v>24</v>
      </c>
      <c r="C105" s="60" t="e">
        <f>C104/C102</f>
        <v>#DIV/0!</v>
      </c>
      <c r="D105" s="60" t="e">
        <f>D104/D102</f>
        <v>#DIV/0!</v>
      </c>
      <c r="E105" s="60" t="e">
        <f>E104/E102</f>
        <v>#DIV/0!</v>
      </c>
      <c r="F105" s="61" t="e">
        <f>F104/F102</f>
        <v>#DIV/0!</v>
      </c>
      <c r="G105" s="61" t="e">
        <f>G104/G102</f>
        <v>#DIV/0!</v>
      </c>
    </row>
    <row r="106" spans="1:10" s="45" customFormat="1" ht="15.5"/>
  </sheetData>
  <mergeCells count="10">
    <mergeCell ref="B10:C10"/>
    <mergeCell ref="E10:F10"/>
    <mergeCell ref="F95:G95"/>
    <mergeCell ref="F98:G98"/>
    <mergeCell ref="A1:H1"/>
    <mergeCell ref="B5:C5"/>
    <mergeCell ref="B6:C6"/>
    <mergeCell ref="B7:C7"/>
    <mergeCell ref="B8:C8"/>
    <mergeCell ref="B9:C9"/>
  </mergeCells>
  <phoneticPr fontId="10" type="noConversion"/>
  <conditionalFormatting sqref="G5:H5 E16:E20 E23 E27:E28">
    <cfRule type="cellIs" priority="4" stopIfTrue="1" operator="equal">
      <formula>"current date"</formula>
    </cfRule>
  </conditionalFormatting>
  <conditionalFormatting sqref="H23 H25 H27:H28 H32:H33 H89">
    <cfRule type="expression" dxfId="1" priority="2" stopIfTrue="1">
      <formula>AND($I$3,H23&lt;&gt;D23)</formula>
    </cfRule>
    <cfRule type="expression" dxfId="0" priority="3" stopIfTrue="1">
      <formula>$I$3</formula>
    </cfRule>
  </conditionalFormatting>
  <printOptions horizontalCentered="1" verticalCentered="1"/>
  <pageMargins left="0.55118110236220474" right="0.55118110236220474" top="0.19685039370078741" bottom="0.39370078740157483" header="0" footer="0.15748031496062992"/>
  <pageSetup paperSize="9" scale="64" orientation="portrait" r:id="rId1"/>
  <headerFooter alignWithMargins="0">
    <oddFooter>&amp;L&amp;D&amp;C&amp;F</oddFooter>
  </headerFooter>
  <rowBreaks count="1" manualBreakCount="1">
    <brk id="56" max="7" man="1"/>
  </rowBreaks>
  <drawing r:id="rId2"/>
  <legacyDrawing r:id="rId3"/>
  <controls>
    <mc:AlternateContent xmlns:mc="http://schemas.openxmlformats.org/markup-compatibility/2006">
      <mc:Choice Requires="x14">
        <control shapeId="54280" r:id="rId4" name="OptionButton2">
          <controlPr defaultSize="0" autoLine="0" linkedCell="I3" r:id="rId5">
            <anchor moveWithCells="1">
              <from>
                <xdr:col>4</xdr:col>
                <xdr:colOff>0</xdr:colOff>
                <xdr:row>2</xdr:row>
                <xdr:rowOff>69850</xdr:rowOff>
              </from>
              <to>
                <xdr:col>4</xdr:col>
                <xdr:colOff>196850</xdr:colOff>
                <xdr:row>3</xdr:row>
                <xdr:rowOff>38100</xdr:rowOff>
              </to>
            </anchor>
          </controlPr>
        </control>
      </mc:Choice>
      <mc:Fallback>
        <control shapeId="54280" r:id="rId4" name="OptionButton2"/>
      </mc:Fallback>
    </mc:AlternateContent>
    <mc:AlternateContent xmlns:mc="http://schemas.openxmlformats.org/markup-compatibility/2006">
      <mc:Choice Requires="x14">
        <control shapeId="54279" r:id="rId6" name="OptionButton1">
          <controlPr defaultSize="0" autoLine="0" r:id="rId7">
            <anchor moveWithCells="1">
              <from>
                <xdr:col>1</xdr:col>
                <xdr:colOff>266700</xdr:colOff>
                <xdr:row>2</xdr:row>
                <xdr:rowOff>69850</xdr:rowOff>
              </from>
              <to>
                <xdr:col>1</xdr:col>
                <xdr:colOff>463550</xdr:colOff>
                <xdr:row>3</xdr:row>
                <xdr:rowOff>38100</xdr:rowOff>
              </to>
            </anchor>
          </controlPr>
        </control>
      </mc:Choice>
      <mc:Fallback>
        <control shapeId="54279" r:id="rId6" name="Option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2</vt:i4>
      </vt:variant>
    </vt:vector>
  </HeadingPairs>
  <TitlesOfParts>
    <vt:vector size="4" baseType="lpstr">
      <vt:lpstr>報價單 </vt:lpstr>
      <vt:lpstr>PNL (C)</vt:lpstr>
      <vt:lpstr>'PNL (C)'!Print_Area</vt:lpstr>
      <vt:lpstr>'報價單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</dc:creator>
  <cp:lastModifiedBy>李俊毅 Steven.Lee</cp:lastModifiedBy>
  <cp:lastPrinted>2025-09-08T08:43:44Z</cp:lastPrinted>
  <dcterms:created xsi:type="dcterms:W3CDTF">2018-02-07T09:15:23Z</dcterms:created>
  <dcterms:modified xsi:type="dcterms:W3CDTF">2026-04-22T14:42:03Z</dcterms:modified>
</cp:coreProperties>
</file>